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3.xml" ContentType="application/vnd.openxmlformats-officedocument.spreadsheetml.table+xml"/>
  <Override PartName="/xl/namedSheetViews/namedSheetView1.xml" ContentType="application/vnd.ms-excel.namedsheetviews+xml"/>
  <Override PartName="/xl/tables/table4.xml" ContentType="application/vnd.openxmlformats-officedocument.spreadsheetml.table+xml"/>
  <Override PartName="/xl/namedSheetViews/namedSheetView2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acalicchio/Desktop/Plataforma MAAB/"/>
    </mc:Choice>
  </mc:AlternateContent>
  <xr:revisionPtr revIDLastSave="0" documentId="8_{F2666A38-5128-6341-A306-FF08A7086738}" xr6:coauthVersionLast="47" xr6:coauthVersionMax="47" xr10:uidLastSave="{00000000-0000-0000-0000-000000000000}"/>
  <bookViews>
    <workbookView xWindow="0" yWindow="660" windowWidth="29040" windowHeight="15720" firstSheet="3" activeTab="3" xr2:uid="{CC51AB62-77D2-4CB8-B2B0-E6DCD4202CB8}"/>
  </bookViews>
  <sheets>
    <sheet name="IC 2024" sheetId="2" r:id="rId1"/>
    <sheet name="IC 2025" sheetId="6" r:id="rId2"/>
    <sheet name="Reuniões 2025" sheetId="3" r:id="rId3"/>
    <sheet name="Reuniões 2026" sheetId="7" r:id="rId4"/>
    <sheet name="Pagamentos" sheetId="4" r:id="rId5"/>
  </sheets>
  <definedNames>
    <definedName name="_xlnm._FilterDatabase" localSheetId="2" hidden="1">'Reuniões 2025'!$G$282:$G$282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3" i="6" l="1"/>
  <c r="M33" i="6"/>
  <c r="Y33" i="6"/>
  <c r="E32" i="6"/>
  <c r="Y32" i="6"/>
  <c r="M32" i="6"/>
  <c r="Y31" i="6"/>
  <c r="M31" i="6"/>
  <c r="E31" i="6"/>
  <c r="E30" i="6"/>
  <c r="M30" i="6"/>
  <c r="Y30" i="6"/>
  <c r="C55" i="6" l="1"/>
  <c r="E28" i="6"/>
  <c r="F28" i="6" s="1"/>
  <c r="E29" i="6"/>
  <c r="F29" i="6" s="1"/>
  <c r="M29" i="6"/>
  <c r="Y29" i="6"/>
  <c r="M28" i="6"/>
  <c r="Y28" i="6"/>
  <c r="Y27" i="6"/>
  <c r="M27" i="6"/>
  <c r="E27" i="6"/>
  <c r="E34" i="6"/>
  <c r="F34" i="6" s="1"/>
  <c r="E26" i="6"/>
  <c r="Y26" i="6"/>
  <c r="M26" i="6"/>
  <c r="C110" i="2"/>
  <c r="C112" i="2"/>
  <c r="C111" i="2"/>
  <c r="C109" i="2"/>
  <c r="C96" i="2"/>
  <c r="C95" i="2"/>
  <c r="C94" i="2"/>
  <c r="C93" i="2"/>
  <c r="C92" i="2"/>
  <c r="C91" i="2"/>
  <c r="C90" i="2"/>
  <c r="C89" i="2"/>
  <c r="C88" i="2"/>
  <c r="C86" i="2"/>
  <c r="C85" i="2"/>
  <c r="C56" i="6"/>
  <c r="W75" i="2"/>
  <c r="V75" i="2"/>
  <c r="U75" i="2"/>
  <c r="T75" i="2"/>
  <c r="S75" i="2"/>
  <c r="R75" i="2"/>
  <c r="Q75" i="2"/>
  <c r="P75" i="2"/>
  <c r="O75" i="2"/>
  <c r="N75" i="2"/>
  <c r="M75" i="2"/>
  <c r="L75" i="2"/>
  <c r="G75" i="2"/>
  <c r="D86" i="6"/>
  <c r="D87" i="6"/>
  <c r="Y25" i="6"/>
  <c r="M25" i="6"/>
  <c r="E25" i="6"/>
  <c r="I60" i="6"/>
  <c r="D70" i="6"/>
  <c r="Y24" i="6"/>
  <c r="M24" i="6"/>
  <c r="E24" i="6"/>
  <c r="F24" i="6" s="1"/>
  <c r="E23" i="6"/>
  <c r="F23" i="6" s="1"/>
  <c r="M23" i="6"/>
  <c r="Y23" i="6"/>
  <c r="Y21" i="6"/>
  <c r="M21" i="6"/>
  <c r="E21" i="6"/>
  <c r="F21" i="6" s="1"/>
  <c r="Y22" i="6"/>
  <c r="M22" i="6"/>
  <c r="E22" i="6"/>
  <c r="F22" i="6" s="1"/>
  <c r="D69" i="6"/>
  <c r="H60" i="6"/>
  <c r="H59" i="6"/>
  <c r="H58" i="6"/>
  <c r="H57" i="6"/>
  <c r="C57" i="6"/>
  <c r="D84" i="6"/>
  <c r="D85" i="6"/>
  <c r="D68" i="6"/>
  <c r="D67" i="6"/>
  <c r="I61" i="6"/>
  <c r="H61" i="6"/>
  <c r="I59" i="6"/>
  <c r="I58" i="6"/>
  <c r="I57" i="6"/>
  <c r="E47" i="6"/>
  <c r="F47" i="6" s="1"/>
  <c r="F46" i="6"/>
  <c r="F45" i="6"/>
  <c r="F44" i="6"/>
  <c r="F41" i="6"/>
  <c r="F40" i="6"/>
  <c r="F39" i="6"/>
  <c r="F38" i="6"/>
  <c r="F37" i="6"/>
  <c r="F36" i="6"/>
  <c r="Y20" i="6"/>
  <c r="M20" i="6"/>
  <c r="E20" i="6"/>
  <c r="F20" i="6" s="1"/>
  <c r="Y19" i="6"/>
  <c r="M19" i="6"/>
  <c r="E19" i="6"/>
  <c r="F19" i="6" s="1"/>
  <c r="Y18" i="6"/>
  <c r="M18" i="6"/>
  <c r="E18" i="6"/>
  <c r="F18" i="6" s="1"/>
  <c r="Y17" i="6"/>
  <c r="M17" i="6"/>
  <c r="E17" i="6"/>
  <c r="F17" i="6" s="1"/>
  <c r="E16" i="6"/>
  <c r="F16" i="6" s="1"/>
  <c r="E15" i="6"/>
  <c r="F15" i="6" s="1"/>
  <c r="E14" i="6"/>
  <c r="F14" i="6" s="1"/>
  <c r="E13" i="6"/>
  <c r="F13" i="6" s="1"/>
  <c r="F35" i="6"/>
  <c r="E12" i="6"/>
  <c r="E11" i="6"/>
  <c r="E10" i="6"/>
  <c r="F10" i="6" s="1"/>
  <c r="F49" i="6"/>
  <c r="F48" i="6"/>
  <c r="E9" i="6"/>
  <c r="F9" i="6" s="1"/>
  <c r="F52" i="6"/>
  <c r="F51" i="6"/>
  <c r="F50" i="6"/>
  <c r="E8" i="6"/>
  <c r="F8" i="6" s="1"/>
  <c r="H62" i="6" l="1"/>
  <c r="C58" i="6"/>
  <c r="X29" i="2" l="1"/>
  <c r="X25" i="2"/>
  <c r="X32" i="2"/>
  <c r="R76" i="2"/>
  <c r="Q76" i="2"/>
  <c r="P76" i="2"/>
  <c r="O76" i="2"/>
  <c r="N76" i="2"/>
  <c r="M76" i="2"/>
  <c r="L76" i="2"/>
  <c r="S76" i="2"/>
  <c r="T76" i="2"/>
  <c r="U76" i="2"/>
  <c r="V76" i="2"/>
  <c r="K76" i="2"/>
  <c r="I74" i="2"/>
  <c r="G74" i="2"/>
  <c r="X13" i="2"/>
  <c r="X14" i="2"/>
  <c r="X36" i="2"/>
  <c r="X16" i="2"/>
  <c r="X73" i="2"/>
  <c r="X67" i="2"/>
  <c r="X50" i="2"/>
  <c r="X68" i="2"/>
  <c r="X69" i="2"/>
  <c r="X70" i="2"/>
  <c r="X71" i="2"/>
  <c r="X33" i="2"/>
  <c r="X42" i="2"/>
  <c r="X72" i="2"/>
  <c r="X34" i="2"/>
  <c r="X64" i="2"/>
  <c r="X49" i="2"/>
  <c r="X15" i="2"/>
  <c r="X17" i="2"/>
  <c r="X51" i="2"/>
  <c r="X40" i="2"/>
  <c r="X75" i="2" l="1"/>
  <c r="W81" i="2"/>
  <c r="W80" i="2"/>
  <c r="W76" i="2"/>
  <c r="W83" i="2"/>
  <c r="W8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tc={34F88DCE-8F26-459F-9486-352766F35711}</author>
    <author>tc={3CD50C67-8304-4AFF-B201-8F4E7416E49D}</author>
  </authors>
  <commentList>
    <comment ref="T15" authorId="0" shapeId="0" xr:uid="{34F88DCE-8F26-459F-9486-352766F35711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Reunião com Carter and White diretamente na fabrica da Givachoice</t>
      </text>
    </comment>
    <comment ref="M65" authorId="1" shapeId="0" xr:uid="{3CD50C67-8304-4AFF-B201-8F4E7416E49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Reunião com NFW New Group of Companies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tc={2DBED1B3-6239-BF4F-8133-068673359814}</author>
  </authors>
  <commentList>
    <comment ref="U49" authorId="0" shapeId="0" xr:uid="{2DBED1B3-6239-BF4F-8133-068673359814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Reunião com Carter and White diretamente na fabrica da Givachoice</t>
      </text>
    </comment>
  </commentList>
</comments>
</file>

<file path=xl/sharedStrings.xml><?xml version="1.0" encoding="utf-8"?>
<sst xmlns="http://schemas.openxmlformats.org/spreadsheetml/2006/main" count="9615" uniqueCount="1932">
  <si>
    <t>Meetings</t>
  </si>
  <si>
    <t>Nome</t>
  </si>
  <si>
    <t>Inicio</t>
  </si>
  <si>
    <t>Data</t>
  </si>
  <si>
    <t>Saída</t>
  </si>
  <si>
    <t>Manager</t>
  </si>
  <si>
    <t>Monthly Fee</t>
  </si>
  <si>
    <t>Success Fee</t>
  </si>
  <si>
    <t>Project Month</t>
  </si>
  <si>
    <t>Status</t>
  </si>
  <si>
    <t>Comments</t>
  </si>
  <si>
    <t>jan/24</t>
  </si>
  <si>
    <t>fev/24</t>
  </si>
  <si>
    <t>mar/24</t>
  </si>
  <si>
    <t>abr/24</t>
  </si>
  <si>
    <t>mai/24</t>
  </si>
  <si>
    <t>jun/24</t>
  </si>
  <si>
    <t>jul/24</t>
  </si>
  <si>
    <t>ago/24</t>
  </si>
  <si>
    <t>set/24</t>
  </si>
  <si>
    <t>out/24</t>
  </si>
  <si>
    <t>nov/24</t>
  </si>
  <si>
    <t>dez/24</t>
  </si>
  <si>
    <t>Total</t>
  </si>
  <si>
    <t>Jossois</t>
  </si>
  <si>
    <t>21 de novembro</t>
  </si>
  <si>
    <t>Isabela</t>
  </si>
  <si>
    <t>-</t>
  </si>
  <si>
    <t>Active</t>
  </si>
  <si>
    <t>Grow Out</t>
  </si>
  <si>
    <t>1 de dezembro</t>
  </si>
  <si>
    <t>Allen</t>
  </si>
  <si>
    <t>active</t>
  </si>
  <si>
    <t>começa em dezembro</t>
  </si>
  <si>
    <t>Tecnho store</t>
  </si>
  <si>
    <t>20 de junho</t>
  </si>
  <si>
    <t>Irmãos Rodrigues</t>
  </si>
  <si>
    <t>23 de setembro</t>
  </si>
  <si>
    <t>Sérgio</t>
  </si>
  <si>
    <t>Fapil</t>
  </si>
  <si>
    <t>13 de set</t>
  </si>
  <si>
    <t>Infinite Foundry</t>
  </si>
  <si>
    <t>8 de setembro</t>
  </si>
  <si>
    <t>Marco</t>
  </si>
  <si>
    <t>Delta</t>
  </si>
  <si>
    <t xml:space="preserve">1 de junho </t>
  </si>
  <si>
    <t>acaba dia 31 de Janiero</t>
  </si>
  <si>
    <t>Givachoice</t>
  </si>
  <si>
    <t>27 de junho</t>
  </si>
  <si>
    <t>Vittawood</t>
  </si>
  <si>
    <t>8 de janeiro</t>
  </si>
  <si>
    <t>FJMPC</t>
  </si>
  <si>
    <t>28 de fev</t>
  </si>
  <si>
    <t>Ramagplast</t>
  </si>
  <si>
    <t>começa em janeiro</t>
  </si>
  <si>
    <t>Alpine Seafood</t>
  </si>
  <si>
    <t>Artnovion</t>
  </si>
  <si>
    <t>Cyberx</t>
  </si>
  <si>
    <t>SF Globallaser</t>
  </si>
  <si>
    <t>16 de Dezembro</t>
  </si>
  <si>
    <t>Exposerve</t>
  </si>
  <si>
    <t>2 de janeiro</t>
  </si>
  <si>
    <t>reunião de alinhamento em dez mas começa em janeiro</t>
  </si>
  <si>
    <t>Plasvip</t>
  </si>
  <si>
    <t>7 de Janeiro</t>
  </si>
  <si>
    <t>Sergio</t>
  </si>
  <si>
    <t>Recheio</t>
  </si>
  <si>
    <t>1 de janeiro</t>
  </si>
  <si>
    <t>Caixa Mágica</t>
  </si>
  <si>
    <t>20 de janeiro</t>
  </si>
  <si>
    <t>José Luis Madeiras</t>
  </si>
  <si>
    <t>20 de novembro</t>
  </si>
  <si>
    <t>hold</t>
  </si>
  <si>
    <t>Farvoli</t>
  </si>
  <si>
    <t>Arxi</t>
  </si>
  <si>
    <t>Atelier Sabiina Design</t>
  </si>
  <si>
    <t>dec/2024</t>
  </si>
  <si>
    <t>GinT</t>
  </si>
  <si>
    <t>estamos à espera do pagamento para continuar</t>
  </si>
  <si>
    <t>Mariano</t>
  </si>
  <si>
    <t>quer renovar, ainda n deu data</t>
  </si>
  <si>
    <t>Artemola</t>
  </si>
  <si>
    <t>volta em fevereiro</t>
  </si>
  <si>
    <t>Crafil</t>
  </si>
  <si>
    <t>Finished</t>
  </si>
  <si>
    <t>Creative Textile</t>
  </si>
  <si>
    <t>Socutel</t>
  </si>
  <si>
    <t>Cubo Hotel</t>
  </si>
  <si>
    <t>começa dia 27 de dezembro</t>
  </si>
  <si>
    <t>Granidense</t>
  </si>
  <si>
    <t>Cubu Fitness</t>
  </si>
  <si>
    <t>ANC Brands</t>
  </si>
  <si>
    <t>Freire Lobo</t>
  </si>
  <si>
    <t>Lambda Golf</t>
  </si>
  <si>
    <t>Bruno</t>
  </si>
  <si>
    <t>VOLT</t>
  </si>
  <si>
    <t>Andres</t>
  </si>
  <si>
    <t>VECO</t>
  </si>
  <si>
    <t>Salma Furniture</t>
  </si>
  <si>
    <t>Inventis</t>
  </si>
  <si>
    <t>Celar</t>
  </si>
  <si>
    <t>Defontes</t>
  </si>
  <si>
    <t>Felipe</t>
  </si>
  <si>
    <t>Micromil</t>
  </si>
  <si>
    <t>RJB Home</t>
  </si>
  <si>
    <t>Freak Chic</t>
  </si>
  <si>
    <t>Foco Criativo</t>
  </si>
  <si>
    <t>Timbera</t>
  </si>
  <si>
    <t>Mirapack</t>
  </si>
  <si>
    <t>Já te disse</t>
  </si>
  <si>
    <t>Gracia Sofia</t>
  </si>
  <si>
    <t>Gold Nutrition</t>
  </si>
  <si>
    <t>Metallik</t>
  </si>
  <si>
    <t>Kiba Candles</t>
  </si>
  <si>
    <t>Camellia</t>
  </si>
  <si>
    <t>JF Almeida</t>
  </si>
  <si>
    <t>FM Texteis</t>
  </si>
  <si>
    <t>Gema</t>
  </si>
  <si>
    <t>1*</t>
  </si>
  <si>
    <t>Farimovel</t>
  </si>
  <si>
    <t>Vânia</t>
  </si>
  <si>
    <t>New Mattress</t>
  </si>
  <si>
    <t>Cácio</t>
  </si>
  <si>
    <t>Focor</t>
  </si>
  <si>
    <t>Indinor</t>
  </si>
  <si>
    <t xml:space="preserve">Vale de Barqueiros </t>
  </si>
  <si>
    <t>Fravizel</t>
  </si>
  <si>
    <t>Katoa Lighting</t>
  </si>
  <si>
    <t> </t>
  </si>
  <si>
    <t>26</t>
  </si>
  <si>
    <t xml:space="preserve"> </t>
  </si>
  <si>
    <t>Entradas projetos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</si>
  <si>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</si>
  <si>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</si>
  <si>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</si>
  <si>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</si>
  <si>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</si>
  <si>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</si>
  <si>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</si>
  <si>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</si>
  <si>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</si>
  <si>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</si>
  <si>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</si>
  <si>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</si>
  <si>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Saída projetos</t>
  </si>
  <si>
    <t>Data entrada</t>
  </si>
  <si>
    <t>Data 2</t>
  </si>
  <si>
    <t>Meses</t>
  </si>
  <si>
    <t>2024 Dezembro</t>
  </si>
  <si>
    <t>2025 Junho</t>
  </si>
  <si>
    <t>2024 Fevereiro</t>
  </si>
  <si>
    <t>2024 Setembro</t>
  </si>
  <si>
    <t>Manel</t>
  </si>
  <si>
    <t>2025 Janeiro</t>
  </si>
  <si>
    <t>2024 Janeiro</t>
  </si>
  <si>
    <t>Aquecinox</t>
  </si>
  <si>
    <t>2025 Fevereiro</t>
  </si>
  <si>
    <t>Core Concept</t>
  </si>
  <si>
    <t>2025 Março</t>
  </si>
  <si>
    <t>Qucaan</t>
  </si>
  <si>
    <t xml:space="preserve">Texteis Penedo </t>
  </si>
  <si>
    <t>Sofia</t>
  </si>
  <si>
    <t>Aronlight</t>
  </si>
  <si>
    <t>Acushla</t>
  </si>
  <si>
    <t>2025 Abril</t>
  </si>
  <si>
    <t>Tetribérica</t>
  </si>
  <si>
    <t>Genan, S.A.</t>
  </si>
  <si>
    <t>Ricarle Stone</t>
  </si>
  <si>
    <t>OneOutfit</t>
  </si>
  <si>
    <t>Termopainel</t>
  </si>
  <si>
    <t>Têxtil Nortenha</t>
  </si>
  <si>
    <t>Biocheers</t>
  </si>
  <si>
    <t>2025 Maio</t>
  </si>
  <si>
    <t>Santa Marta</t>
  </si>
  <si>
    <t>wTVision</t>
  </si>
  <si>
    <t>Manuel</t>
  </si>
  <si>
    <t>Drops Nazaré</t>
  </si>
  <si>
    <t>Residence</t>
  </si>
  <si>
    <t>2025 Julho</t>
  </si>
  <si>
    <t>Happy Probability</t>
  </si>
  <si>
    <t>concluded</t>
  </si>
  <si>
    <t>Clientes ativos</t>
  </si>
  <si>
    <t>Clientes em hold</t>
  </si>
  <si>
    <t>Active recurring</t>
  </si>
  <si>
    <t>Projectos ativos</t>
  </si>
  <si>
    <t>Clientes concluded</t>
  </si>
  <si>
    <t>Saída de projetos</t>
  </si>
  <si>
    <t>Account Manager</t>
  </si>
  <si>
    <t>País</t>
  </si>
  <si>
    <t>Cliente</t>
  </si>
  <si>
    <t>Potencial Cliente</t>
  </si>
  <si>
    <t>Score</t>
  </si>
  <si>
    <t>MA</t>
  </si>
  <si>
    <t>Arte&amp;Mola</t>
  </si>
  <si>
    <t>Extra Matelas</t>
  </si>
  <si>
    <t>27/05/2024</t>
  </si>
  <si>
    <t>Techno Store</t>
  </si>
  <si>
    <t>YEP</t>
  </si>
  <si>
    <t>TU</t>
  </si>
  <si>
    <t>Materna</t>
  </si>
  <si>
    <t>Yaratech</t>
  </si>
  <si>
    <t>17/07/2024</t>
  </si>
  <si>
    <t>KW</t>
  </si>
  <si>
    <t>La Casa</t>
  </si>
  <si>
    <t>24/07/2024</t>
  </si>
  <si>
    <t>UAE</t>
  </si>
  <si>
    <t>Magna General Trading</t>
  </si>
  <si>
    <t>LI</t>
  </si>
  <si>
    <t>Gin T</t>
  </si>
  <si>
    <t>Abi Ramia Bros</t>
  </si>
  <si>
    <t>25/07/2024</t>
  </si>
  <si>
    <t>AL</t>
  </si>
  <si>
    <t>La Belle Literie</t>
  </si>
  <si>
    <t>QA</t>
  </si>
  <si>
    <t>Fab Furnish</t>
  </si>
  <si>
    <t>26/07/2024</t>
  </si>
  <si>
    <t>Malia Group</t>
  </si>
  <si>
    <t>29/07/2024</t>
  </si>
  <si>
    <t>Bafte</t>
  </si>
  <si>
    <t>FM Têxteis</t>
  </si>
  <si>
    <t>Jokes Aside</t>
  </si>
  <si>
    <t>30/07/2024</t>
  </si>
  <si>
    <t>Barlivery</t>
  </si>
  <si>
    <t>31/07/2024</t>
  </si>
  <si>
    <t>Emirates Marble &amp; Granite</t>
  </si>
  <si>
    <t xml:space="preserve">Marco </t>
  </si>
  <si>
    <t>Bishop Design</t>
  </si>
  <si>
    <t>General Distribuition Placo</t>
  </si>
  <si>
    <t>Al Abdullah Group</t>
  </si>
  <si>
    <t>Sand Circus</t>
  </si>
  <si>
    <t>SA</t>
  </si>
  <si>
    <t>Al-Rahmani Group</t>
  </si>
  <si>
    <t>Dekkeni</t>
  </si>
  <si>
    <t>One of a Kind</t>
  </si>
  <si>
    <t>Mon Mantelas</t>
  </si>
  <si>
    <t>Majed Harasani Design</t>
  </si>
  <si>
    <t>13/8/2024</t>
  </si>
  <si>
    <t>FJX</t>
  </si>
  <si>
    <t>28/08/2024</t>
  </si>
  <si>
    <t>NSK Consulting</t>
  </si>
  <si>
    <t>DZ Design</t>
  </si>
  <si>
    <t>Ranim Distribution</t>
  </si>
  <si>
    <t>STQ Group</t>
  </si>
  <si>
    <t>Agap2IT</t>
  </si>
  <si>
    <t>NBR Centre</t>
  </si>
  <si>
    <t>Centaurus</t>
  </si>
  <si>
    <t>17/09/2024</t>
  </si>
  <si>
    <t>Arton Confort</t>
  </si>
  <si>
    <t>19/09/2024</t>
  </si>
  <si>
    <t>Al Maya</t>
  </si>
  <si>
    <t>EG</t>
  </si>
  <si>
    <t>Egyptian Supplies</t>
  </si>
  <si>
    <t>Bourchanin&amp;Cie</t>
  </si>
  <si>
    <t>26/09/2024</t>
  </si>
  <si>
    <t>ITAK</t>
  </si>
  <si>
    <t>Tunewtech</t>
  </si>
  <si>
    <t xml:space="preserve">Ziad Chanine </t>
  </si>
  <si>
    <t>NG</t>
  </si>
  <si>
    <t>Skynet</t>
  </si>
  <si>
    <t>Tormek Global</t>
  </si>
  <si>
    <t>Emkay Foods</t>
  </si>
  <si>
    <t>Kids Jouets</t>
  </si>
  <si>
    <t>17/10/2024</t>
  </si>
  <si>
    <t>HBK Contracting</t>
  </si>
  <si>
    <t>21/10/2024</t>
  </si>
  <si>
    <t>Domaine Chograne</t>
  </si>
  <si>
    <t>TQ</t>
  </si>
  <si>
    <t>Turqagro Group</t>
  </si>
  <si>
    <t>24/10/2024</t>
  </si>
  <si>
    <t>Olive Garden</t>
  </si>
  <si>
    <t>28/10/2025</t>
  </si>
  <si>
    <t>West Zone Group</t>
  </si>
  <si>
    <t>22/10/2024</t>
  </si>
  <si>
    <t>SN</t>
  </si>
  <si>
    <t>CMS Shop</t>
  </si>
  <si>
    <t>23/10/2024</t>
  </si>
  <si>
    <t>Marché Alizé</t>
  </si>
  <si>
    <t>Alpha Gamer</t>
  </si>
  <si>
    <t>AIC</t>
  </si>
  <si>
    <t>29/10/2025</t>
  </si>
  <si>
    <t>Al-Ahram Group</t>
  </si>
  <si>
    <t>29/10/2026</t>
  </si>
  <si>
    <t>City Phone</t>
  </si>
  <si>
    <t>Computer Village Mart</t>
  </si>
  <si>
    <t>Doncent Electronics</t>
  </si>
  <si>
    <t>TD Gold Store</t>
  </si>
  <si>
    <t>OM</t>
  </si>
  <si>
    <t>Universe Lines International</t>
  </si>
  <si>
    <t>TN</t>
  </si>
  <si>
    <t>Global Test Tunisie</t>
  </si>
  <si>
    <t>La Brosse Maroc</t>
  </si>
  <si>
    <t>Mani Distribuition</t>
  </si>
  <si>
    <t>Flexifloor Maroc</t>
  </si>
  <si>
    <t>BH</t>
  </si>
  <si>
    <t xml:space="preserve">A.R.Kamal &amp; Sons Co. </t>
  </si>
  <si>
    <t xml:space="preserve">EG </t>
  </si>
  <si>
    <t>Valentina Linens</t>
  </si>
  <si>
    <t>16/10/2024</t>
  </si>
  <si>
    <t>Cotton Land</t>
  </si>
  <si>
    <t>CRAFIL</t>
  </si>
  <si>
    <t>Eye of Ra</t>
  </si>
  <si>
    <t>New Trend Egypt</t>
  </si>
  <si>
    <t>14/10/2024</t>
  </si>
  <si>
    <t>Dolphin Garments</t>
  </si>
  <si>
    <t>24/09/2024</t>
  </si>
  <si>
    <t>FLTRD</t>
  </si>
  <si>
    <t>18/09/2024</t>
  </si>
  <si>
    <t>Pearla</t>
  </si>
  <si>
    <t>Akay Garments</t>
  </si>
  <si>
    <t>FM TÊXTEIS</t>
  </si>
  <si>
    <t>Kaafmeem</t>
  </si>
  <si>
    <t>GEMA</t>
  </si>
  <si>
    <t>(VERIFICAR)</t>
  </si>
  <si>
    <t>FNAC SA</t>
  </si>
  <si>
    <t>FNAC TU</t>
  </si>
  <si>
    <t>Game ON</t>
  </si>
  <si>
    <t>Innox Tech</t>
  </si>
  <si>
    <t>KU</t>
  </si>
  <si>
    <t>Al Waha Computer</t>
  </si>
  <si>
    <t>Ferruti</t>
  </si>
  <si>
    <t>MTCC Group</t>
  </si>
  <si>
    <t>Al Jaber</t>
  </si>
  <si>
    <t>Global Growth</t>
  </si>
  <si>
    <t>General Distribution</t>
  </si>
  <si>
    <t>Hunter Foods</t>
  </si>
  <si>
    <t>Alupco</t>
  </si>
  <si>
    <t>Smart Homes</t>
  </si>
  <si>
    <t>Lulu Group</t>
  </si>
  <si>
    <t>Grandiose</t>
  </si>
  <si>
    <t>Chroithrams</t>
  </si>
  <si>
    <t>s9</t>
  </si>
  <si>
    <t>IBS Automation</t>
  </si>
  <si>
    <t xml:space="preserve"> RJB Home</t>
  </si>
  <si>
    <t>Antreas Tech</t>
  </si>
  <si>
    <t>ATS</t>
  </si>
  <si>
    <t>Tanta Motors</t>
  </si>
  <si>
    <t>Smart Reels</t>
  </si>
  <si>
    <t>Somfy</t>
  </si>
  <si>
    <t>Switch Arabia</t>
  </si>
  <si>
    <t>Avario</t>
  </si>
  <si>
    <t>WEEK 46</t>
  </si>
  <si>
    <t>GH</t>
  </si>
  <si>
    <t>Leader Price Ghana</t>
  </si>
  <si>
    <t>Al-Ahram Group, FU</t>
  </si>
  <si>
    <t>8-Bit</t>
  </si>
  <si>
    <t>Five Continental</t>
  </si>
  <si>
    <t>Jumia Ghana</t>
  </si>
  <si>
    <t>14/11/2024</t>
  </si>
  <si>
    <t>Blue Sea Global</t>
  </si>
  <si>
    <t>WEEK 47</t>
  </si>
  <si>
    <t>PVT Gadgets</t>
  </si>
  <si>
    <t>18/11/2024</t>
  </si>
  <si>
    <t>Arabian Smart Homes</t>
  </si>
  <si>
    <t>EAU</t>
  </si>
  <si>
    <t>Ether</t>
  </si>
  <si>
    <t>Miyado Cuisine</t>
  </si>
  <si>
    <t>Pre Game SA</t>
  </si>
  <si>
    <t>Zaid Farouki</t>
  </si>
  <si>
    <t>KSA</t>
  </si>
  <si>
    <t>AHC</t>
  </si>
  <si>
    <t>N/A</t>
  </si>
  <si>
    <t>WEEK 48</t>
  </si>
  <si>
    <t>Yasmine</t>
  </si>
  <si>
    <t>Marché Alizé, FU</t>
  </si>
  <si>
    <t>NA</t>
  </si>
  <si>
    <t>Hyprom</t>
  </si>
  <si>
    <t>Grapes&amp;Hops</t>
  </si>
  <si>
    <t>Quabuy Ghana</t>
  </si>
  <si>
    <t>Firat Building Materials</t>
  </si>
  <si>
    <t>Madalena</t>
  </si>
  <si>
    <t xml:space="preserve">status meeting </t>
  </si>
  <si>
    <t>MAAB Consulting</t>
  </si>
  <si>
    <t xml:space="preserve">Alinhamento </t>
  </si>
  <si>
    <t>Growout</t>
  </si>
  <si>
    <t>WEEK 49</t>
  </si>
  <si>
    <t>Tupperware</t>
  </si>
  <si>
    <t>AHSEN Maroc</t>
  </si>
  <si>
    <t>Aquinos</t>
  </si>
  <si>
    <t>WEEK 50</t>
  </si>
  <si>
    <t>8-Bit FU</t>
  </si>
  <si>
    <t>4</t>
  </si>
  <si>
    <t>SKD Hygiène</t>
  </si>
  <si>
    <t>Infinity Hospitality</t>
  </si>
  <si>
    <t>DZ</t>
  </si>
  <si>
    <t>José Luís Madeiras</t>
  </si>
  <si>
    <t>Sarl Alcodimex</t>
  </si>
  <si>
    <t>Moussa Laref</t>
  </si>
  <si>
    <t>Sopen Tunisie</t>
  </si>
  <si>
    <t>Hospitality Chain</t>
  </si>
  <si>
    <t>Compufix Lab</t>
  </si>
  <si>
    <t>LB</t>
  </si>
  <si>
    <t>MHS Horeca Supplies</t>
  </si>
  <si>
    <t>WEEK 51</t>
  </si>
  <si>
    <t xml:space="preserve">Infinity Drinks </t>
  </si>
  <si>
    <t>AIM Gadgets</t>
  </si>
  <si>
    <t>2/3</t>
  </si>
  <si>
    <t>iStudio Egypt</t>
  </si>
  <si>
    <t>Masmoudi Distribuition</t>
  </si>
  <si>
    <t>3</t>
  </si>
  <si>
    <t>Halabh</t>
  </si>
  <si>
    <t>2</t>
  </si>
  <si>
    <t>Cedi Shop</t>
  </si>
  <si>
    <t>Kuwait Proteins</t>
  </si>
  <si>
    <t xml:space="preserve">Aymen </t>
  </si>
  <si>
    <t xml:space="preserve">Sérgio </t>
  </si>
  <si>
    <t>SIBM</t>
  </si>
  <si>
    <t>URA</t>
  </si>
  <si>
    <t>Bayer Foods</t>
  </si>
  <si>
    <t>Gadgets Grid Phones</t>
  </si>
  <si>
    <t>CMCB</t>
  </si>
  <si>
    <t>CyberX</t>
  </si>
  <si>
    <t>BOT Solutions</t>
  </si>
  <si>
    <t>GrowOut</t>
  </si>
  <si>
    <t>Rezfoods</t>
  </si>
  <si>
    <t>SARL Interwood</t>
  </si>
  <si>
    <t>Talabat</t>
  </si>
  <si>
    <t>Globallaser</t>
  </si>
  <si>
    <t>SF Global</t>
  </si>
  <si>
    <t>SMM Socodan</t>
  </si>
  <si>
    <t>Oli Saudi</t>
  </si>
  <si>
    <t>The Yard Qatar</t>
  </si>
  <si>
    <t>4AG</t>
  </si>
  <si>
    <t>Ami Bois</t>
  </si>
  <si>
    <t>WEEK 1</t>
  </si>
  <si>
    <t>Zeke Trolleys</t>
  </si>
  <si>
    <t>Technologie Distribution Service</t>
  </si>
  <si>
    <t>FU</t>
  </si>
  <si>
    <t>CS Global Business</t>
  </si>
  <si>
    <t>Heights Contracting</t>
  </si>
  <si>
    <t>IQ</t>
  </si>
  <si>
    <t>Barakat</t>
  </si>
  <si>
    <t>Mobpcom</t>
  </si>
  <si>
    <t>Skynet Building, FU</t>
  </si>
  <si>
    <t>FaipN</t>
  </si>
  <si>
    <t>Novaqui</t>
  </si>
  <si>
    <t>Bed Janssen</t>
  </si>
  <si>
    <t>Transmed</t>
  </si>
  <si>
    <t>Rezfood</t>
  </si>
  <si>
    <t>Nexotin</t>
  </si>
  <si>
    <t>SANP</t>
  </si>
  <si>
    <t>Al Ajmal Furniture</t>
  </si>
  <si>
    <t>SZ Metal</t>
  </si>
  <si>
    <t>1</t>
  </si>
  <si>
    <t>Atlantic Harvest</t>
  </si>
  <si>
    <t>Rez Food</t>
  </si>
  <si>
    <t>Egyptian Supllies, FU</t>
  </si>
  <si>
    <t>Sama Al Duqm</t>
  </si>
  <si>
    <t>13/1/2025</t>
  </si>
  <si>
    <t>4 - pedido de cotação direto</t>
  </si>
  <si>
    <t>WEEK 2</t>
  </si>
  <si>
    <t>Jumia</t>
  </si>
  <si>
    <t>13/01/2025</t>
  </si>
  <si>
    <t>Marc Ellis</t>
  </si>
  <si>
    <t>Talos TN</t>
  </si>
  <si>
    <t>14/01/2025</t>
  </si>
  <si>
    <t>HomeLife</t>
  </si>
  <si>
    <t>Egypt Wood Flooring</t>
  </si>
  <si>
    <t>15/01/2025</t>
  </si>
  <si>
    <t>Design Space</t>
  </si>
  <si>
    <t>Dunes Catering</t>
  </si>
  <si>
    <t>16/01/2025</t>
  </si>
  <si>
    <t>Mercurius International (JYSK UAE)</t>
  </si>
  <si>
    <t>17/01/2025</t>
  </si>
  <si>
    <t>WEEK 3</t>
  </si>
  <si>
    <t>Eco Motive Trading</t>
  </si>
  <si>
    <t>20/01/2025</t>
  </si>
  <si>
    <t>Ouachem Construction</t>
  </si>
  <si>
    <t>21/01/2025</t>
  </si>
  <si>
    <t>iTouch Communication</t>
  </si>
  <si>
    <t>New Edition Home</t>
  </si>
  <si>
    <t>Zeke Trolleys, FU</t>
  </si>
  <si>
    <t>Cairo Metal Trade</t>
  </si>
  <si>
    <t>22/01/2025</t>
  </si>
  <si>
    <t>ISOTEC</t>
  </si>
  <si>
    <t xml:space="preserve">Allen </t>
  </si>
  <si>
    <t>KE</t>
  </si>
  <si>
    <t>Dinlow Electronics</t>
  </si>
  <si>
    <t xml:space="preserve">2 </t>
  </si>
  <si>
    <t>JTA Holdings</t>
  </si>
  <si>
    <t>23/01/2025</t>
  </si>
  <si>
    <t>Game Store</t>
  </si>
  <si>
    <t>Adamas Tech</t>
  </si>
  <si>
    <t>24/01/2025</t>
  </si>
  <si>
    <t xml:space="preserve">Madalena </t>
  </si>
  <si>
    <t>WEEK 4</t>
  </si>
  <si>
    <t>KTB Group</t>
  </si>
  <si>
    <t>28/01/2025</t>
  </si>
  <si>
    <t>Design Space, FU</t>
  </si>
  <si>
    <t>Sarl Interwood</t>
  </si>
  <si>
    <t>Vaellio</t>
  </si>
  <si>
    <t>30/01/2025</t>
  </si>
  <si>
    <t>Aymen, FU</t>
  </si>
  <si>
    <t>31/01/2025</t>
  </si>
  <si>
    <t>Wells International</t>
  </si>
  <si>
    <t>Fattal Group</t>
  </si>
  <si>
    <t>Transmed, FU</t>
  </si>
  <si>
    <t>Markwood</t>
  </si>
  <si>
    <t>Giva Choice / Artnovion / Alpine</t>
  </si>
  <si>
    <t>WEEK 5</t>
  </si>
  <si>
    <t>Emirates Furniture</t>
  </si>
  <si>
    <t>Mobpcom, FU</t>
  </si>
  <si>
    <t>The Parker International</t>
  </si>
  <si>
    <t>The Principles MENA</t>
  </si>
  <si>
    <t>Egy Ghana</t>
  </si>
  <si>
    <t>Green Lab</t>
  </si>
  <si>
    <t>Le Producteur</t>
  </si>
  <si>
    <t>Dutco Construction</t>
  </si>
  <si>
    <t>WEEK 6</t>
  </si>
  <si>
    <t>Manorbois</t>
  </si>
  <si>
    <t>Arcosteel</t>
  </si>
  <si>
    <t>Ocean Five Trading</t>
  </si>
  <si>
    <t>Huxberry</t>
  </si>
  <si>
    <t>Reach Food</t>
  </si>
  <si>
    <t>Boxy MA</t>
  </si>
  <si>
    <t>Zamil Steel</t>
  </si>
  <si>
    <t>Adamas Tech FU</t>
  </si>
  <si>
    <t xml:space="preserve">Sarl FMPI </t>
  </si>
  <si>
    <t>My Gadgets Direct</t>
  </si>
  <si>
    <t>Stock Furniture</t>
  </si>
  <si>
    <t>13/2/2025</t>
  </si>
  <si>
    <t xml:space="preserve">Astra </t>
  </si>
  <si>
    <t>Whole Sales Toys</t>
  </si>
  <si>
    <t>Groupe Sonasid</t>
  </si>
  <si>
    <t>14/2/2025</t>
  </si>
  <si>
    <t>Envision</t>
  </si>
  <si>
    <t>WEEK 7</t>
  </si>
  <si>
    <t>Assaad Daoui</t>
  </si>
  <si>
    <t>17/2/2025</t>
  </si>
  <si>
    <t>Egypt Power</t>
  </si>
  <si>
    <t>CI</t>
  </si>
  <si>
    <t>Kone Geo Engineering</t>
  </si>
  <si>
    <t>Safety Point</t>
  </si>
  <si>
    <t>18/2/2025</t>
  </si>
  <si>
    <t>BECG SARL</t>
  </si>
  <si>
    <t>19/2/2025</t>
  </si>
  <si>
    <t>Hajery (GF)</t>
  </si>
  <si>
    <t>Emkay Foods (GF)</t>
  </si>
  <si>
    <t>AE</t>
  </si>
  <si>
    <t>Mauzan Groupe</t>
  </si>
  <si>
    <t>Shadows Design</t>
  </si>
  <si>
    <t>IR</t>
  </si>
  <si>
    <t>Naseel Al-Iraq Co (GF)</t>
  </si>
  <si>
    <t>Barakat (GF)</t>
  </si>
  <si>
    <t>Mobilitop</t>
  </si>
  <si>
    <t>Delta Hygiène</t>
  </si>
  <si>
    <t xml:space="preserve">International Dealer </t>
  </si>
  <si>
    <t>ArteMola</t>
  </si>
  <si>
    <t>New Edition Home, FU</t>
  </si>
  <si>
    <t>SenHouse</t>
  </si>
  <si>
    <t>20/2/2025</t>
  </si>
  <si>
    <t>Amiantit</t>
  </si>
  <si>
    <t>City Phone, FU</t>
  </si>
  <si>
    <t>Rezfood (GF)</t>
  </si>
  <si>
    <t>21/2/2025</t>
  </si>
  <si>
    <t>status meeting</t>
  </si>
  <si>
    <t>cyber x</t>
  </si>
  <si>
    <t>WEEK 8</t>
  </si>
  <si>
    <t>NDC Oman</t>
  </si>
  <si>
    <t>24/2/2025</t>
  </si>
  <si>
    <t>Smart Sync (WS)</t>
  </si>
  <si>
    <t>Social Surge Media (WS)</t>
  </si>
  <si>
    <t>24/2/2026</t>
  </si>
  <si>
    <t>Phone Hubb</t>
  </si>
  <si>
    <t>Lamah</t>
  </si>
  <si>
    <t>25/2/2025</t>
  </si>
  <si>
    <t xml:space="preserve">Manuel </t>
  </si>
  <si>
    <t>Ahsen Maroc</t>
  </si>
  <si>
    <t>Dunes Catering, FU</t>
  </si>
  <si>
    <t>26/2/2025</t>
  </si>
  <si>
    <t>Mannai Tech (WS)</t>
  </si>
  <si>
    <t>27/2/2025</t>
  </si>
  <si>
    <t>Rebound</t>
  </si>
  <si>
    <t>Flexifloor,FU</t>
  </si>
  <si>
    <t>Laiterie Soumamm</t>
  </si>
  <si>
    <t>28/2/2025</t>
  </si>
  <si>
    <t>WEEK 9</t>
  </si>
  <si>
    <t>Softoo</t>
  </si>
  <si>
    <t>Clement Designs</t>
  </si>
  <si>
    <t>Groupe ENPC</t>
  </si>
  <si>
    <t>Furniture Line</t>
  </si>
  <si>
    <t>Cliente não apareceu</t>
  </si>
  <si>
    <t>Groupe Cevital</t>
  </si>
  <si>
    <t>Ramagplast não apareceu</t>
  </si>
  <si>
    <t>Nerolim</t>
  </si>
  <si>
    <t>Al Rugaib Furniture</t>
  </si>
  <si>
    <t>KN</t>
  </si>
  <si>
    <t>Electronic Soko</t>
  </si>
  <si>
    <t>BHL Interior</t>
  </si>
  <si>
    <t>Sen House, FU</t>
  </si>
  <si>
    <t>Distripol</t>
  </si>
  <si>
    <t>Exceed</t>
  </si>
  <si>
    <t>Hi-Best</t>
  </si>
  <si>
    <t>Faux Plafond in Staff</t>
  </si>
  <si>
    <t>Madalnea</t>
  </si>
  <si>
    <t xml:space="preserve">Qucaan </t>
  </si>
  <si>
    <t>WEEK 10</t>
  </si>
  <si>
    <t>Yves Rocher Maroc</t>
  </si>
  <si>
    <t>Al Nojoom</t>
  </si>
  <si>
    <t>Mani Distribuition, FU</t>
  </si>
  <si>
    <t>Ambiance Furniture</t>
  </si>
  <si>
    <t>Hadeed Sports</t>
  </si>
  <si>
    <t>SE</t>
  </si>
  <si>
    <t>Faux Plafond en Staff FU</t>
  </si>
  <si>
    <t>Manoforest</t>
  </si>
  <si>
    <t>13/3/2025</t>
  </si>
  <si>
    <t>ExtraGamer</t>
  </si>
  <si>
    <t>BUC Phones</t>
  </si>
  <si>
    <t>GadgetXpress</t>
  </si>
  <si>
    <t>Texteis Penedo</t>
  </si>
  <si>
    <t>Novaqui / Aquinos</t>
  </si>
  <si>
    <t>WEEK 11</t>
  </si>
  <si>
    <t>Saudi Controls</t>
  </si>
  <si>
    <t>17/3/2025</t>
  </si>
  <si>
    <t>BeArtisan</t>
  </si>
  <si>
    <t>19/3/2025</t>
  </si>
  <si>
    <t>Sealand Foods</t>
  </si>
  <si>
    <t>20/3/2025</t>
  </si>
  <si>
    <t>Andy Mannhart</t>
  </si>
  <si>
    <t>Squat Wolf</t>
  </si>
  <si>
    <t>21/3/2025</t>
  </si>
  <si>
    <t>Joshi John</t>
  </si>
  <si>
    <t>Target Lebanese Group</t>
  </si>
  <si>
    <t>WEEK 12</t>
  </si>
  <si>
    <t>Shaiba Alkhaleej Trading</t>
  </si>
  <si>
    <t>24/3/2025</t>
  </si>
  <si>
    <t>Insight Lightings</t>
  </si>
  <si>
    <t>Dar Al Omar</t>
  </si>
  <si>
    <t>25/3/2025</t>
  </si>
  <si>
    <t>Al-Jisr International</t>
  </si>
  <si>
    <t>Studio Plus</t>
  </si>
  <si>
    <t>WEEK 13</t>
  </si>
  <si>
    <t>BIM Maroc</t>
  </si>
  <si>
    <t>Al Watania</t>
  </si>
  <si>
    <t>WEEK 14</t>
  </si>
  <si>
    <t>Fresh Express</t>
  </si>
  <si>
    <t>Durar Masagh Trading Co.</t>
  </si>
  <si>
    <t>Sotuca</t>
  </si>
  <si>
    <t>SU</t>
  </si>
  <si>
    <t>MSG Foods</t>
  </si>
  <si>
    <t>Target Lebanese Group, FU</t>
  </si>
  <si>
    <t>Têxteis Penedo</t>
  </si>
  <si>
    <t>Alhabib Bedding</t>
  </si>
  <si>
    <t>Table and Beyond</t>
  </si>
  <si>
    <t>Genan</t>
  </si>
  <si>
    <t>WEEK 15</t>
  </si>
  <si>
    <t>Alyamitech</t>
  </si>
  <si>
    <t>14/4/2025</t>
  </si>
  <si>
    <t>Arak Lighting</t>
  </si>
  <si>
    <t>Reflow</t>
  </si>
  <si>
    <t>15/4/2025</t>
  </si>
  <si>
    <t>Nouran</t>
  </si>
  <si>
    <t>International Group Trading</t>
  </si>
  <si>
    <t>16/4/2025</t>
  </si>
  <si>
    <t>Homaizi Trading</t>
  </si>
  <si>
    <t>Rez Food, FU</t>
  </si>
  <si>
    <t>17/4/2025</t>
  </si>
  <si>
    <t>Alinhamento</t>
  </si>
  <si>
    <t>WEEK 16</t>
  </si>
  <si>
    <t>2K Shopping</t>
  </si>
  <si>
    <t>22/4/2025</t>
  </si>
  <si>
    <t>EPF Industrie</t>
  </si>
  <si>
    <t>My Little Home</t>
  </si>
  <si>
    <t>Arabian Construction Materials</t>
  </si>
  <si>
    <t>Lumiere KSA</t>
  </si>
  <si>
    <t>23/4/2025</t>
  </si>
  <si>
    <t>Brandictionary</t>
  </si>
  <si>
    <t>Al Jazira Supermarkets</t>
  </si>
  <si>
    <t>24/4/2025</t>
  </si>
  <si>
    <t>23/04/2025</t>
  </si>
  <si>
    <t>24/04/2025</t>
  </si>
  <si>
    <t>WEEK 17</t>
  </si>
  <si>
    <t>Galery Foods &amp; Beverages</t>
  </si>
  <si>
    <t>28/4/2025</t>
  </si>
  <si>
    <t>Lari Group</t>
  </si>
  <si>
    <t>29/4/2025</t>
  </si>
  <si>
    <t>Black Active</t>
  </si>
  <si>
    <t>Urban K</t>
  </si>
  <si>
    <t xml:space="preserve">Al Habshi Engineering Consultants Office </t>
  </si>
  <si>
    <t>30/4/2025</t>
  </si>
  <si>
    <t>Blue Ribbon</t>
  </si>
  <si>
    <t>30/04/2025</t>
  </si>
  <si>
    <t xml:space="preserve">United Ventures Co.LTD </t>
  </si>
  <si>
    <t>Kainro Foods</t>
  </si>
  <si>
    <t>29/04/2025</t>
  </si>
  <si>
    <t>Célia + Allen</t>
  </si>
  <si>
    <t>status</t>
  </si>
  <si>
    <t>Célia + Sérgio</t>
  </si>
  <si>
    <t>WEEK 18</t>
  </si>
  <si>
    <t>WEEL 18</t>
  </si>
  <si>
    <t>2K Shopping, FU</t>
  </si>
  <si>
    <t>Duneus</t>
  </si>
  <si>
    <t>Spex Insulation Contracting / Emirates Industrial Panels &amp; Termopainel</t>
  </si>
  <si>
    <t>HFB</t>
  </si>
  <si>
    <t>Salam Al Kuwait</t>
  </si>
  <si>
    <t>Abyat</t>
  </si>
  <si>
    <t xml:space="preserve">MAAB </t>
  </si>
  <si>
    <t>Célia + Sofia</t>
  </si>
  <si>
    <t>One Outfit</t>
  </si>
  <si>
    <t>MAAB</t>
  </si>
  <si>
    <t>Célia + Manuel</t>
  </si>
  <si>
    <t>Célia + Sara</t>
  </si>
  <si>
    <t>WEEK 19</t>
  </si>
  <si>
    <t>Solpark</t>
  </si>
  <si>
    <t xml:space="preserve">Mabani </t>
  </si>
  <si>
    <t>Kirsty Kennedy</t>
  </si>
  <si>
    <t>1309 Studios</t>
  </si>
  <si>
    <t>13/5/2025</t>
  </si>
  <si>
    <t>Sara</t>
  </si>
  <si>
    <t>Amgit</t>
  </si>
  <si>
    <t>14/5/2025</t>
  </si>
  <si>
    <t>Middle East Building Solutions</t>
  </si>
  <si>
    <t>Lighting Souq</t>
  </si>
  <si>
    <t>Ecolum</t>
  </si>
  <si>
    <t>Organic Food and Cafe</t>
  </si>
  <si>
    <t>15/5/2025</t>
  </si>
  <si>
    <t>DAR Engineering</t>
  </si>
  <si>
    <t>Infinity Drinks</t>
  </si>
  <si>
    <t>16/5/2025</t>
  </si>
  <si>
    <t>Estratégia Comunicação</t>
  </si>
  <si>
    <t>Célia + Pedro</t>
  </si>
  <si>
    <t>Célia</t>
  </si>
  <si>
    <t>Tetrbérica</t>
  </si>
  <si>
    <t>Célia +Sofia</t>
  </si>
  <si>
    <t>Textil Nortenha</t>
  </si>
  <si>
    <t>Santa Marta S.A.</t>
  </si>
  <si>
    <t>Status missão</t>
  </si>
  <si>
    <t>Alpine</t>
  </si>
  <si>
    <t>16/05/2025</t>
  </si>
  <si>
    <t>WEEK 20</t>
  </si>
  <si>
    <t>Darmec</t>
  </si>
  <si>
    <t>19/05/2025</t>
  </si>
  <si>
    <t xml:space="preserve">Marble Design Factory Company </t>
  </si>
  <si>
    <t>20/05/2025</t>
  </si>
  <si>
    <t>Inspiring Solutions</t>
  </si>
  <si>
    <t>20/5/2025</t>
  </si>
  <si>
    <t>Loca Finance</t>
  </si>
  <si>
    <t>IDA Dubai</t>
  </si>
  <si>
    <t>XBD Collective</t>
  </si>
  <si>
    <t>Rana Alkassim</t>
  </si>
  <si>
    <t>Pure Harvest</t>
  </si>
  <si>
    <t>22/5/2025</t>
  </si>
  <si>
    <t>Profilacier</t>
  </si>
  <si>
    <t>The Bridge</t>
  </si>
  <si>
    <t>23/5/2025</t>
  </si>
  <si>
    <t>Santa Marta, S.A.</t>
  </si>
  <si>
    <t>21/05/2025</t>
  </si>
  <si>
    <t>22/05/2025</t>
  </si>
  <si>
    <t>23/05/2025</t>
  </si>
  <si>
    <t>WEEK 21</t>
  </si>
  <si>
    <t>DISSA</t>
  </si>
  <si>
    <t>25/5/2025</t>
  </si>
  <si>
    <t>MR</t>
  </si>
  <si>
    <t>SEA Engineering</t>
  </si>
  <si>
    <t>26/5/2025</t>
  </si>
  <si>
    <t>Al Huraiz</t>
  </si>
  <si>
    <t>27/5/2025</t>
  </si>
  <si>
    <t>Adnan Akbar</t>
  </si>
  <si>
    <t>28/5/2025</t>
  </si>
  <si>
    <t>MG Hotel Supplies</t>
  </si>
  <si>
    <t>29/5/2025</t>
  </si>
  <si>
    <t>27/05/20525</t>
  </si>
  <si>
    <t>27/05/2025</t>
  </si>
  <si>
    <t>29/05/2025</t>
  </si>
  <si>
    <t>30/05/2025</t>
  </si>
  <si>
    <t>Textl Nortenha</t>
  </si>
  <si>
    <t>30/0572025</t>
  </si>
  <si>
    <t>WEEK 22</t>
  </si>
  <si>
    <t>JO</t>
  </si>
  <si>
    <t>Injaz Group</t>
  </si>
  <si>
    <t>BAAN Holding</t>
  </si>
  <si>
    <t>Fujairah General Trading</t>
  </si>
  <si>
    <t>Clo</t>
  </si>
  <si>
    <t>Joseph Engineering Services</t>
  </si>
  <si>
    <t>IMANOR</t>
  </si>
  <si>
    <t>x</t>
  </si>
  <si>
    <t>Premier Ceiling Ghana</t>
  </si>
  <si>
    <t>Beyond Bricks Construction</t>
  </si>
  <si>
    <t>WEEK 23</t>
  </si>
  <si>
    <t>Qatar National Import &amp; Export Co.</t>
  </si>
  <si>
    <t>Roni Helou</t>
  </si>
  <si>
    <t>AAco</t>
  </si>
  <si>
    <t>Climake</t>
  </si>
  <si>
    <t>Comunicação</t>
  </si>
  <si>
    <t>Final Projeto</t>
  </si>
  <si>
    <t>WEEK 24</t>
  </si>
  <si>
    <t>Azizi Developments</t>
  </si>
  <si>
    <t>17/6/2025</t>
  </si>
  <si>
    <t>3S Morocco</t>
  </si>
  <si>
    <t>Globus Overseas</t>
  </si>
  <si>
    <t>18/6/2025</t>
  </si>
  <si>
    <t>TNG Modulaire</t>
  </si>
  <si>
    <t>NDC Oman, FU</t>
  </si>
  <si>
    <t>O LED</t>
  </si>
  <si>
    <t>Aronlight não apareceu</t>
  </si>
  <si>
    <t>Hajruss</t>
  </si>
  <si>
    <t>4A Architects</t>
  </si>
  <si>
    <t>17/06/2025</t>
  </si>
  <si>
    <t>20/06/2025</t>
  </si>
  <si>
    <t>WEEK 25</t>
  </si>
  <si>
    <t>Caviar Boutique</t>
  </si>
  <si>
    <t>23/6/2025</t>
  </si>
  <si>
    <t>Salam Al Kuwait, FU</t>
  </si>
  <si>
    <t>25/6/22025</t>
  </si>
  <si>
    <t>Unigarden Group</t>
  </si>
  <si>
    <t>25/6/2025</t>
  </si>
  <si>
    <t>Middle East Building Solutions, FU</t>
  </si>
  <si>
    <t>Jessica K</t>
  </si>
  <si>
    <t>Marble Design Factory Company</t>
  </si>
  <si>
    <t>Beta Sport</t>
  </si>
  <si>
    <t>26/06/2025</t>
  </si>
  <si>
    <t>Cecilehob</t>
  </si>
  <si>
    <t>27/06/2025</t>
  </si>
  <si>
    <t>23/06/2025</t>
  </si>
  <si>
    <t>Status (chamada)</t>
  </si>
  <si>
    <t>25/06/2025</t>
  </si>
  <si>
    <t>27/06/25</t>
  </si>
  <si>
    <t>WEEK 26</t>
  </si>
  <si>
    <t>EEC Group</t>
  </si>
  <si>
    <t>Phil Sportscape</t>
  </si>
  <si>
    <t>Proud Angeles</t>
  </si>
  <si>
    <t>Nord</t>
  </si>
  <si>
    <t>WEEK 27</t>
  </si>
  <si>
    <t>Global Star Group</t>
  </si>
  <si>
    <t>Modern Design</t>
  </si>
  <si>
    <t>Middle East International Foods</t>
  </si>
  <si>
    <t>Oilfield Options</t>
  </si>
  <si>
    <t>Plavip</t>
  </si>
  <si>
    <t>Target Food</t>
  </si>
  <si>
    <t>Health Choice</t>
  </si>
  <si>
    <t>Astroturf Ghana</t>
  </si>
  <si>
    <t>Sutol</t>
  </si>
  <si>
    <t>WEEK 28</t>
  </si>
  <si>
    <t>Safety Direct</t>
  </si>
  <si>
    <t>15/07/2025</t>
  </si>
  <si>
    <t>Al Jammaz Hydrotek</t>
  </si>
  <si>
    <t>Abris &amp; Modulaires (Visita presencial)</t>
  </si>
  <si>
    <t>16/7/2025</t>
  </si>
  <si>
    <t>17/7/2025</t>
  </si>
  <si>
    <t>Garsteel</t>
  </si>
  <si>
    <t>14/07/2025</t>
  </si>
  <si>
    <t>HappyP</t>
  </si>
  <si>
    <t>16/07/2025</t>
  </si>
  <si>
    <t>17/07/2025</t>
  </si>
  <si>
    <t>WEEK 29</t>
  </si>
  <si>
    <t>Ali Kaiksow</t>
  </si>
  <si>
    <t>Mainetti/Ismail</t>
  </si>
  <si>
    <t>22/07/2025</t>
  </si>
  <si>
    <t>ConnecTextile</t>
  </si>
  <si>
    <t>Bouguessa</t>
  </si>
  <si>
    <t>ZAVI</t>
  </si>
  <si>
    <t>23/07/2025</t>
  </si>
  <si>
    <t>Power Electronics</t>
  </si>
  <si>
    <t>Hayek Lighting</t>
  </si>
  <si>
    <t>24/7/2025</t>
  </si>
  <si>
    <t>21/07/2025</t>
  </si>
  <si>
    <t>24/07/2025</t>
  </si>
  <si>
    <t>25/07/2025</t>
  </si>
  <si>
    <t>WEEK 30</t>
  </si>
  <si>
    <t>AVH General Trading</t>
  </si>
  <si>
    <t>28/7/2025</t>
  </si>
  <si>
    <t>David</t>
  </si>
  <si>
    <t>Alif Trading</t>
  </si>
  <si>
    <t>Sapin</t>
  </si>
  <si>
    <t>31/7/2025</t>
  </si>
  <si>
    <t>Mainetti-Smaco</t>
  </si>
  <si>
    <t>28/07/2025</t>
  </si>
  <si>
    <t>D'orey Tiles</t>
  </si>
  <si>
    <t>29/07/2025</t>
  </si>
  <si>
    <t>30/07/2025</t>
  </si>
  <si>
    <t>Ricarle stone</t>
  </si>
  <si>
    <t>31/07/2025</t>
  </si>
  <si>
    <t>WEEK 31</t>
  </si>
  <si>
    <t>BinDawood</t>
  </si>
  <si>
    <t>VVP International</t>
  </si>
  <si>
    <t>TomiFashion</t>
  </si>
  <si>
    <t>TEAL</t>
  </si>
  <si>
    <t>Archibat</t>
  </si>
  <si>
    <t>Compincar</t>
  </si>
  <si>
    <t>WEEK 32</t>
  </si>
  <si>
    <t>Gulf Supply Company</t>
  </si>
  <si>
    <t>Atlantis</t>
  </si>
  <si>
    <t>Kingston</t>
  </si>
  <si>
    <t>13/8/2025</t>
  </si>
  <si>
    <t xml:space="preserve">Ruby Berries </t>
  </si>
  <si>
    <t>13/08/2025</t>
  </si>
  <si>
    <t>Altix</t>
  </si>
  <si>
    <t>14/08/2025</t>
  </si>
  <si>
    <t>WEEK 33</t>
  </si>
  <si>
    <t>Danube Hospitality</t>
  </si>
  <si>
    <t>18/08/2025</t>
  </si>
  <si>
    <t>Dara Engineering Consultants</t>
  </si>
  <si>
    <t>19/8/2025</t>
  </si>
  <si>
    <t>TR</t>
  </si>
  <si>
    <t>Integral Spor</t>
  </si>
  <si>
    <t>20/8/2025</t>
  </si>
  <si>
    <t>Molders Group</t>
  </si>
  <si>
    <t>21/8/2025</t>
  </si>
  <si>
    <t>Al Reem</t>
  </si>
  <si>
    <t>Caviar Boutique, FU</t>
  </si>
  <si>
    <t>22/8/2025</t>
  </si>
  <si>
    <t>WEEK 34</t>
  </si>
  <si>
    <t>25/8/2025</t>
  </si>
  <si>
    <t>Avengrass</t>
  </si>
  <si>
    <t>27/8/2025</t>
  </si>
  <si>
    <t>Incept Architectural Consult</t>
  </si>
  <si>
    <t>28/8/2025</t>
  </si>
  <si>
    <t>YLA Studio </t>
  </si>
  <si>
    <t>29/8/2025</t>
  </si>
  <si>
    <t>O Azeiteiro</t>
  </si>
  <si>
    <t>26/08/2025</t>
  </si>
  <si>
    <t>27/08/2025</t>
  </si>
  <si>
    <t>28/08/2025</t>
  </si>
  <si>
    <t>WEEK 35</t>
  </si>
  <si>
    <t>Zine Capital Invest</t>
  </si>
  <si>
    <t>Beatriz</t>
  </si>
  <si>
    <t xml:space="preserve">Al Mahrain </t>
  </si>
  <si>
    <t>SGMC</t>
  </si>
  <si>
    <t>Vita Constrution</t>
  </si>
  <si>
    <t>Mighty Foods</t>
  </si>
  <si>
    <t xml:space="preserve">Studio Create </t>
  </si>
  <si>
    <t>Chic Le Frique</t>
  </si>
  <si>
    <t>Ali Bin Ali</t>
  </si>
  <si>
    <t>WEEK 36</t>
  </si>
  <si>
    <t>Linda</t>
  </si>
  <si>
    <t>Tomi Fashion</t>
  </si>
  <si>
    <t>FU, N/A</t>
  </si>
  <si>
    <t xml:space="preserve">Gulf Rubber Factory </t>
  </si>
  <si>
    <t>2a reunião</t>
  </si>
  <si>
    <t>Teal</t>
  </si>
  <si>
    <t>Metcalfe</t>
  </si>
  <si>
    <t>LY</t>
  </si>
  <si>
    <t>Lajhar Group</t>
  </si>
  <si>
    <t xml:space="preserve">World Services Mauritania </t>
  </si>
  <si>
    <t>Food Group Trading</t>
  </si>
  <si>
    <t>ACCL</t>
  </si>
  <si>
    <t>Contemporary Group</t>
  </si>
  <si>
    <t>Casa Shamuzzi</t>
  </si>
  <si>
    <t xml:space="preserve">Dara engineering </t>
  </si>
  <si>
    <t>13/9/2025</t>
  </si>
  <si>
    <t>WEEK 37</t>
  </si>
  <si>
    <t>Ahmad A. Abed Holding</t>
  </si>
  <si>
    <t>15/9/2025</t>
  </si>
  <si>
    <t xml:space="preserve">Beatriz </t>
  </si>
  <si>
    <t>15/09/2025</t>
  </si>
  <si>
    <t>Tgcc</t>
  </si>
  <si>
    <t>17/9/2025</t>
  </si>
  <si>
    <t>EEC Egypt</t>
  </si>
  <si>
    <t>Tapidor</t>
  </si>
  <si>
    <t>Arabian Supplies</t>
  </si>
  <si>
    <t>18/9/2025</t>
  </si>
  <si>
    <t>Micdee</t>
  </si>
  <si>
    <t>TROJAN</t>
  </si>
  <si>
    <t>19/9/2025</t>
  </si>
  <si>
    <t>Bidfood</t>
  </si>
  <si>
    <t>BMF Architects</t>
  </si>
  <si>
    <t>CAMS</t>
  </si>
  <si>
    <t>16/09/2025</t>
  </si>
  <si>
    <t>Chamada</t>
  </si>
  <si>
    <t>Dorey Tiles</t>
  </si>
  <si>
    <t>17/09/2025</t>
  </si>
  <si>
    <t>Reunião Final Projeto</t>
  </si>
  <si>
    <t>Yogoody</t>
  </si>
  <si>
    <t>18/09/2025</t>
  </si>
  <si>
    <t>WEEK 38</t>
  </si>
  <si>
    <t>Mkurdi Group</t>
  </si>
  <si>
    <t>23/9/2025</t>
  </si>
  <si>
    <t>D'Orey Tiles</t>
  </si>
  <si>
    <t>24/9/2025</t>
  </si>
  <si>
    <t>AHB</t>
  </si>
  <si>
    <t>JET CONTRACTORS</t>
  </si>
  <si>
    <t>Farm</t>
  </si>
  <si>
    <t>25/9/2025</t>
  </si>
  <si>
    <t>Heaven's Gate</t>
  </si>
  <si>
    <t>Boyan Group</t>
  </si>
  <si>
    <t>Dissa</t>
  </si>
  <si>
    <t>26/9/2025</t>
  </si>
  <si>
    <t>Sweet &amp; Sugar</t>
  </si>
  <si>
    <t>Forteams Lab</t>
  </si>
  <si>
    <t>WEEK 39</t>
  </si>
  <si>
    <t>Prime Design Studio</t>
  </si>
  <si>
    <t>29/9/2025</t>
  </si>
  <si>
    <t>Julia</t>
  </si>
  <si>
    <t>Zuhair Murad</t>
  </si>
  <si>
    <t>30/9/2025</t>
  </si>
  <si>
    <t>Soor Engineering</t>
  </si>
  <si>
    <t>Gulf consult</t>
  </si>
  <si>
    <t>Your Home</t>
  </si>
  <si>
    <t>Pure Food</t>
  </si>
  <si>
    <t>SGTM</t>
  </si>
  <si>
    <t>Kimax</t>
  </si>
  <si>
    <t>Civil Expert</t>
  </si>
  <si>
    <t>Al Reef</t>
  </si>
  <si>
    <t>Dutco Constrution</t>
  </si>
  <si>
    <t>Unigarden Group, FU</t>
  </si>
  <si>
    <t>VSHD</t>
  </si>
  <si>
    <t>Lvelite</t>
  </si>
  <si>
    <t>TAEP / AAP</t>
  </si>
  <si>
    <t>WEEK 40</t>
  </si>
  <si>
    <t>Echelle</t>
  </si>
  <si>
    <t>Ilk Sports</t>
  </si>
  <si>
    <t xml:space="preserve">Miro Architects </t>
  </si>
  <si>
    <t>Foodz Way</t>
  </si>
  <si>
    <t>Media City</t>
  </si>
  <si>
    <t>Edecs</t>
  </si>
  <si>
    <t>Elegant Textile Consultants</t>
  </si>
  <si>
    <t>Foodz Way, FU</t>
  </si>
  <si>
    <t>4 (Missão Comercial)</t>
  </si>
  <si>
    <t>Slekoo</t>
  </si>
  <si>
    <t>Gulf Signature</t>
  </si>
  <si>
    <t>ConnectIndustry</t>
  </si>
  <si>
    <t>Razel Group</t>
  </si>
  <si>
    <t>Dissa Consulting</t>
  </si>
  <si>
    <t>Districaia</t>
  </si>
  <si>
    <t>WEEK 41</t>
  </si>
  <si>
    <t>TFour Plus</t>
  </si>
  <si>
    <t>13/10/2025</t>
  </si>
  <si>
    <t>Bonyan Group</t>
  </si>
  <si>
    <t>ZNSO architects</t>
  </si>
  <si>
    <t>14/10/2025</t>
  </si>
  <si>
    <t>Fresh Express, FU</t>
  </si>
  <si>
    <t>Sea Fresh DXB</t>
  </si>
  <si>
    <t>John Dory Seafood</t>
  </si>
  <si>
    <t>ElAouad Architecture</t>
  </si>
  <si>
    <t>Maiza</t>
  </si>
  <si>
    <t>Metco Qatar</t>
  </si>
  <si>
    <t>Gulf Rubber Factory</t>
  </si>
  <si>
    <t>15/10/2025</t>
  </si>
  <si>
    <t>Stroc</t>
  </si>
  <si>
    <t>16/10/2025</t>
  </si>
  <si>
    <t>Aujan</t>
  </si>
  <si>
    <t>Design Hub</t>
  </si>
  <si>
    <t>16/10/2026</t>
  </si>
  <si>
    <t>JD Design</t>
  </si>
  <si>
    <t>16/10/2027</t>
  </si>
  <si>
    <t>Apparel Group</t>
  </si>
  <si>
    <t>17/10/2025</t>
  </si>
  <si>
    <t xml:space="preserve">Sweet and Sugar </t>
  </si>
  <si>
    <t>Delta Food Industries FZC</t>
  </si>
  <si>
    <t>Raneen Foods</t>
  </si>
  <si>
    <t>WEEK 42</t>
  </si>
  <si>
    <t>ColorGlo</t>
  </si>
  <si>
    <t>20/10/2025</t>
  </si>
  <si>
    <t>SAFCO</t>
  </si>
  <si>
    <t>21/10/2025</t>
  </si>
  <si>
    <t>Muhannad Kurdi</t>
  </si>
  <si>
    <t>ConnecTextile - Têxtil Nortenha</t>
  </si>
  <si>
    <t>22/10/2025</t>
  </si>
  <si>
    <t>ConnecTextile - ANC Brands</t>
  </si>
  <si>
    <t>23/10/2025</t>
  </si>
  <si>
    <t>Rabeta International</t>
  </si>
  <si>
    <t>USBC Interiors</t>
  </si>
  <si>
    <t xml:space="preserve">Happy Probability </t>
  </si>
  <si>
    <t>ConnecTextile - Givachoice</t>
  </si>
  <si>
    <t>24/10/2025</t>
  </si>
  <si>
    <t xml:space="preserve">Gallery Five </t>
  </si>
  <si>
    <t xml:space="preserve">Julia/ Ana </t>
  </si>
  <si>
    <t>Fernandes Sampaio</t>
  </si>
  <si>
    <t>WEEK 43</t>
  </si>
  <si>
    <t>27/10/2025</t>
  </si>
  <si>
    <t>ForTeams Lab</t>
  </si>
  <si>
    <t>Play Maker</t>
  </si>
  <si>
    <t>ConnectIndustry- Natstone</t>
  </si>
  <si>
    <t>ConnectIndustry- Marmoguia</t>
  </si>
  <si>
    <t>Maíza</t>
  </si>
  <si>
    <t>RHEAT</t>
  </si>
  <si>
    <t>Gulf Consult</t>
  </si>
  <si>
    <t>ISEZA</t>
  </si>
  <si>
    <t>30/10/2025</t>
  </si>
  <si>
    <t>Spazio Interiors</t>
  </si>
  <si>
    <t>World Service Mauritania</t>
  </si>
  <si>
    <t>31/10/2025</t>
  </si>
  <si>
    <t xml:space="preserve">Ana </t>
  </si>
  <si>
    <t>Chamada/Status</t>
  </si>
  <si>
    <t xml:space="preserve">Chamada /Status </t>
  </si>
  <si>
    <t>For Teams Lab</t>
  </si>
  <si>
    <t>WEEK 44</t>
  </si>
  <si>
    <t>Blue Marine</t>
  </si>
  <si>
    <t>House of Cenmar</t>
  </si>
  <si>
    <t>Rawasi Distribution</t>
  </si>
  <si>
    <t>Zaro Architects</t>
  </si>
  <si>
    <t>Sur Industrie</t>
  </si>
  <si>
    <t>EGT</t>
  </si>
  <si>
    <t>Aura</t>
  </si>
  <si>
    <t>Mozzat</t>
  </si>
  <si>
    <t>Qatar Life Pharma</t>
  </si>
  <si>
    <t xml:space="preserve">MAR Trading </t>
  </si>
  <si>
    <t xml:space="preserve">MAAB   </t>
  </si>
  <si>
    <t xml:space="preserve">Retail Inc </t>
  </si>
  <si>
    <t xml:space="preserve">NCFHK Company </t>
  </si>
  <si>
    <t xml:space="preserve">Ana /David </t>
  </si>
  <si>
    <t>Status /Projeto</t>
  </si>
  <si>
    <t xml:space="preserve">Termopainel </t>
  </si>
  <si>
    <t>WEEK 45</t>
  </si>
  <si>
    <t>Setam Batiment</t>
  </si>
  <si>
    <t>Sterling Restaurants</t>
  </si>
  <si>
    <t>Casais</t>
  </si>
  <si>
    <t xml:space="preserve">Julia </t>
  </si>
  <si>
    <t>GoodLivlilHood</t>
  </si>
  <si>
    <t xml:space="preserve">Kavalani </t>
  </si>
  <si>
    <t xml:space="preserve">Quake </t>
  </si>
  <si>
    <t xml:space="preserve">Districaia </t>
  </si>
  <si>
    <t xml:space="preserve">As-Samad </t>
  </si>
  <si>
    <t>BFM</t>
  </si>
  <si>
    <t>Saudi Anfal</t>
  </si>
  <si>
    <t>NGE</t>
  </si>
  <si>
    <t>Abra</t>
  </si>
  <si>
    <t>Al Gurg</t>
  </si>
  <si>
    <t>Fernandes e Sampaio </t>
  </si>
  <si>
    <t>Wafi Group</t>
  </si>
  <si>
    <t>Fyngan</t>
  </si>
  <si>
    <t>Rawasi group</t>
  </si>
  <si>
    <t>SY</t>
  </si>
  <si>
    <t>MAG</t>
  </si>
  <si>
    <t>Subh Engineering</t>
  </si>
  <si>
    <t>Webley Sports</t>
  </si>
  <si>
    <t>14/11/2025</t>
  </si>
  <si>
    <t>Ana /Julia</t>
  </si>
  <si>
    <t>Reunião Projeto</t>
  </si>
  <si>
    <t>NCFHK</t>
  </si>
  <si>
    <t xml:space="preserve">Reunião Status </t>
  </si>
  <si>
    <t>Fernandes e Sampaio</t>
  </si>
  <si>
    <t>Saudi Landscape</t>
  </si>
  <si>
    <t>17/11/2025</t>
  </si>
  <si>
    <t>Thermo Pumps</t>
  </si>
  <si>
    <t>Metal Work</t>
  </si>
  <si>
    <t>Nash Antiques</t>
  </si>
  <si>
    <t>AF Group</t>
  </si>
  <si>
    <t>18/11/2025</t>
  </si>
  <si>
    <t>Connect Industry</t>
  </si>
  <si>
    <t>Khalifa Holding Group</t>
  </si>
  <si>
    <t>Memar Group</t>
  </si>
  <si>
    <t>Albino Miranda</t>
  </si>
  <si>
    <t>AGI</t>
  </si>
  <si>
    <t xml:space="preserve">Gabriel Botci </t>
  </si>
  <si>
    <t xml:space="preserve">ElAouad Architecture </t>
  </si>
  <si>
    <t>19/11/2025</t>
  </si>
  <si>
    <t>a400</t>
  </si>
  <si>
    <t>NLA</t>
  </si>
  <si>
    <t>GCB</t>
  </si>
  <si>
    <t xml:space="preserve">Jamali Uniforms </t>
  </si>
  <si>
    <t>PK</t>
  </si>
  <si>
    <t xml:space="preserve">Happy probability </t>
  </si>
  <si>
    <t xml:space="preserve">Yarntex </t>
  </si>
  <si>
    <t>20/11/2025</t>
  </si>
  <si>
    <t>Alwan Furnishing</t>
  </si>
  <si>
    <t>Diyar</t>
  </si>
  <si>
    <t>Abarbou Architecte</t>
  </si>
  <si>
    <t>Constrution Supply</t>
  </si>
  <si>
    <t>Ana</t>
  </si>
  <si>
    <t xml:space="preserve">Reunião Alinhamento </t>
  </si>
  <si>
    <t>Coltec</t>
  </si>
  <si>
    <t xml:space="preserve">Chamada/ status </t>
  </si>
  <si>
    <t>Sterling Restaurants, FU</t>
  </si>
  <si>
    <t>24/11/2025</t>
  </si>
  <si>
    <t>MAO</t>
  </si>
  <si>
    <t>GI</t>
  </si>
  <si>
    <t>MUA</t>
  </si>
  <si>
    <t>Construction &amp; Planning</t>
  </si>
  <si>
    <t>Mechatronics</t>
  </si>
  <si>
    <t>26/11/2025</t>
  </si>
  <si>
    <t>Raynov</t>
  </si>
  <si>
    <t xml:space="preserve">ForTeams Lab </t>
  </si>
  <si>
    <t>Al Hilal</t>
  </si>
  <si>
    <t>Nairobi International</t>
  </si>
  <si>
    <t>Mango Sports</t>
  </si>
  <si>
    <t>Alansmith Nigeria</t>
  </si>
  <si>
    <t>27/11/2025</t>
  </si>
  <si>
    <t>Mourad Ben</t>
  </si>
  <si>
    <t xml:space="preserve"> Alansmith Nigeria</t>
  </si>
  <si>
    <t>AZ</t>
  </si>
  <si>
    <t>Project Bureau Azerbaijan</t>
  </si>
  <si>
    <t>Oxair</t>
  </si>
  <si>
    <t>KZ</t>
  </si>
  <si>
    <t>KPSP</t>
  </si>
  <si>
    <t>28/11/2025</t>
  </si>
  <si>
    <t>CGE</t>
  </si>
  <si>
    <t>Corys Building Centre</t>
  </si>
  <si>
    <t>OBTIMA-BEG INGENIERIE</t>
  </si>
  <si>
    <t>Reunião de Status</t>
  </si>
  <si>
    <t xml:space="preserve">Ana /Maiza </t>
  </si>
  <si>
    <t xml:space="preserve">Fernandes e Sampaio </t>
  </si>
  <si>
    <t>Ana/Maiza</t>
  </si>
  <si>
    <t>Fabrimatex</t>
  </si>
  <si>
    <t xml:space="preserve">Chamada/Status </t>
  </si>
  <si>
    <t>Happy probability</t>
  </si>
  <si>
    <t xml:space="preserve">ReuniãoStatus </t>
  </si>
  <si>
    <t>YOGOODY</t>
  </si>
  <si>
    <t>Sweets and Sugar</t>
  </si>
  <si>
    <t>Al-Rams SC</t>
  </si>
  <si>
    <t>2/12/2025</t>
  </si>
  <si>
    <t xml:space="preserve">Yarn City </t>
  </si>
  <si>
    <t>Carl Rbeiz</t>
  </si>
  <si>
    <t>Somagec Group</t>
  </si>
  <si>
    <t>Comeca</t>
  </si>
  <si>
    <t>Madana</t>
  </si>
  <si>
    <t>SIF Manufacturing</t>
  </si>
  <si>
    <t>Al Sadhan </t>
  </si>
  <si>
    <t>3/12/2025</t>
  </si>
  <si>
    <t>Bafarat Industrial Group</t>
  </si>
  <si>
    <t>Saiid Kobeisy</t>
  </si>
  <si>
    <t>ZYX</t>
  </si>
  <si>
    <t>4/12/2025</t>
  </si>
  <si>
    <t>AO Smith</t>
  </si>
  <si>
    <t>Al Faris Food Industries</t>
  </si>
  <si>
    <t>Namshi</t>
  </si>
  <si>
    <t>Easygrass</t>
  </si>
  <si>
    <t>INK Architects</t>
  </si>
  <si>
    <t>5/12/2025</t>
  </si>
  <si>
    <t>Holding Willix &amp; Associés</t>
  </si>
  <si>
    <t>Elinnet</t>
  </si>
  <si>
    <t>Ana/Allen</t>
  </si>
  <si>
    <t>Emotional Brands</t>
  </si>
  <si>
    <t>nicholas design</t>
  </si>
  <si>
    <t>9/12/2025</t>
  </si>
  <si>
    <t>Novec</t>
  </si>
  <si>
    <t>LUX</t>
  </si>
  <si>
    <t>Maya Deluxe Store</t>
  </si>
  <si>
    <t>Cliente não forneceu</t>
  </si>
  <si>
    <t>MSRI</t>
  </si>
  <si>
    <t>10/12/2025</t>
  </si>
  <si>
    <t>COLTEC</t>
  </si>
  <si>
    <t>CASAFINA</t>
  </si>
  <si>
    <t>11/12/2025</t>
  </si>
  <si>
    <t>ZG</t>
  </si>
  <si>
    <t>East Company</t>
  </si>
  <si>
    <t>SaudiBoilers</t>
  </si>
  <si>
    <t xml:space="preserve">Ana/Allen  </t>
  </si>
  <si>
    <t xml:space="preserve">Emotional Brands </t>
  </si>
  <si>
    <t>SaudiProTech</t>
  </si>
  <si>
    <t>15/12/2025</t>
  </si>
  <si>
    <t>Premya</t>
  </si>
  <si>
    <t>16/12/2025</t>
  </si>
  <si>
    <t>AlQimma</t>
  </si>
  <si>
    <t>Al Ittihad Sports Club</t>
  </si>
  <si>
    <t>ET</t>
  </si>
  <si>
    <t>Wub Housing</t>
  </si>
  <si>
    <t>17/12/2025</t>
  </si>
  <si>
    <t>Cambridge Engineering Consultant</t>
  </si>
  <si>
    <t>18/12/2025</t>
  </si>
  <si>
    <t xml:space="preserve"> Ricarle Stone</t>
  </si>
  <si>
    <t>Imar, Engineering Consultants</t>
  </si>
  <si>
    <t>Abdouly Holding</t>
  </si>
  <si>
    <t>Resisport</t>
  </si>
  <si>
    <t>19/12/2025</t>
  </si>
  <si>
    <t>Ana/ Allen</t>
  </si>
  <si>
    <t>Qualiaço</t>
  </si>
  <si>
    <t xml:space="preserve">Chamada / Status </t>
  </si>
  <si>
    <t>Ana / David/ Pedro</t>
  </si>
  <si>
    <t>Denodl</t>
  </si>
  <si>
    <t>22/12/2025</t>
  </si>
  <si>
    <t>Julia/Maíza/Allen</t>
  </si>
  <si>
    <t>ElKafoury Group</t>
  </si>
  <si>
    <t>EMCO</t>
  </si>
  <si>
    <t xml:space="preserve">United Foods </t>
  </si>
  <si>
    <t>Gulf Market International</t>
  </si>
  <si>
    <t xml:space="preserve">Vivacity </t>
  </si>
  <si>
    <t>WEEK 52</t>
  </si>
  <si>
    <t>Astra Oilfield</t>
  </si>
  <si>
    <t>Al Manara Panel Boards</t>
  </si>
  <si>
    <t>Delta Cafés</t>
  </si>
  <si>
    <t>Almoaserah Alarabeyeh</t>
  </si>
  <si>
    <t>Ana/Julia</t>
  </si>
  <si>
    <t>SONATURAL</t>
  </si>
  <si>
    <t xml:space="preserve">Maiza/Allen/Pedro </t>
  </si>
  <si>
    <t xml:space="preserve">Reunião de Alinhamento </t>
  </si>
  <si>
    <t>Bocean</t>
  </si>
  <si>
    <t>Chef Middle East</t>
  </si>
  <si>
    <t>Sweet and Sugar</t>
  </si>
  <si>
    <t>Balsharaf Group</t>
  </si>
  <si>
    <t>Nutrition Diet Center</t>
  </si>
  <si>
    <t>MAM Electric</t>
  </si>
  <si>
    <t>Salt Technology Services</t>
  </si>
  <si>
    <t>Joud Coffee</t>
  </si>
  <si>
    <t>Almunajem</t>
  </si>
  <si>
    <t>Inside Design Company</t>
  </si>
  <si>
    <t>Dennemeyer</t>
  </si>
  <si>
    <t>Al Jameel Showroom</t>
  </si>
  <si>
    <t>MangoSports</t>
  </si>
  <si>
    <t>Rafimex</t>
  </si>
  <si>
    <t>Core Cocept</t>
  </si>
  <si>
    <t>Ana /Maiza</t>
  </si>
  <si>
    <t xml:space="preserve">Reunião de Projeto </t>
  </si>
  <si>
    <t>ALTIX</t>
  </si>
  <si>
    <t xml:space="preserve">Maiza/Ana </t>
  </si>
  <si>
    <t xml:space="preserve">Reunião AlInhamento </t>
  </si>
  <si>
    <t>Animovel</t>
  </si>
  <si>
    <t>Allen/João/Pedro/Ana</t>
  </si>
  <si>
    <t>Freshland</t>
  </si>
  <si>
    <t>UNLO</t>
  </si>
  <si>
    <t>Rawasi Group</t>
  </si>
  <si>
    <t>Execute Interiors</t>
  </si>
  <si>
    <t>13/1/2026</t>
  </si>
  <si>
    <t>BR</t>
  </si>
  <si>
    <t xml:space="preserve"> PSA Arquitetura</t>
  </si>
  <si>
    <t>DP World</t>
  </si>
  <si>
    <t>ANNCO</t>
  </si>
  <si>
    <t>Pure Seasons</t>
  </si>
  <si>
    <t>CP Tech</t>
  </si>
  <si>
    <t>14/1/2026</t>
  </si>
  <si>
    <t xml:space="preserve"> IrriPower</t>
  </si>
  <si>
    <t>Organic Food &amp; Cafe</t>
  </si>
  <si>
    <t>Focus Acoustics</t>
  </si>
  <si>
    <t>15/1/2026</t>
  </si>
  <si>
    <t xml:space="preserve">Design Young </t>
  </si>
  <si>
    <t>Nesma Partners</t>
  </si>
  <si>
    <t xml:space="preserve">Sachin Banodkar </t>
  </si>
  <si>
    <t>16/1/2026</t>
  </si>
  <si>
    <t>STarq Arquitetura</t>
  </si>
  <si>
    <t>ACR Arquitetos Associados</t>
  </si>
  <si>
    <t>Ana/Julia/Pedro</t>
  </si>
  <si>
    <t xml:space="preserve">Genan </t>
  </si>
  <si>
    <t xml:space="preserve">Ana/ Maiza </t>
  </si>
  <si>
    <t>Italian Footwear Solution</t>
  </si>
  <si>
    <t>19/01/2026</t>
  </si>
  <si>
    <t>19/01/2025</t>
  </si>
  <si>
    <t>Nile Textile</t>
  </si>
  <si>
    <t>Holding Willix</t>
  </si>
  <si>
    <t>Presencial</t>
  </si>
  <si>
    <t>Natstone</t>
  </si>
  <si>
    <t>Teslia</t>
  </si>
  <si>
    <t xml:space="preserve">Zenith </t>
  </si>
  <si>
    <t xml:space="preserve"> BAOBAB Architects </t>
  </si>
  <si>
    <t>NATURETRANCHE</t>
  </si>
  <si>
    <t>AQUA4D</t>
  </si>
  <si>
    <t>ABRA</t>
  </si>
  <si>
    <t>Superlimão</t>
  </si>
  <si>
    <t>Bacco Arquitetos Associados</t>
  </si>
  <si>
    <t>Resuno Matinal</t>
  </si>
  <si>
    <t>Hoog Store</t>
  </si>
  <si>
    <t>26/01/2026</t>
  </si>
  <si>
    <t>ZG Traders</t>
  </si>
  <si>
    <t>27/01/2026</t>
  </si>
  <si>
    <t>Groupe Rahal</t>
  </si>
  <si>
    <t xml:space="preserve"> CoreConcept</t>
  </si>
  <si>
    <t>Espace Engineering Consultants</t>
  </si>
  <si>
    <t>Eco Commerce International</t>
  </si>
  <si>
    <t>Agrolora</t>
  </si>
  <si>
    <t>28/01/2026</t>
  </si>
  <si>
    <t>MENA Lifestyle</t>
  </si>
  <si>
    <t>29/01/2026</t>
  </si>
  <si>
    <t>Aguarda resposta do cliente</t>
  </si>
  <si>
    <t>Al Jassar</t>
  </si>
  <si>
    <t xml:space="preserve"> Sanabel Landscape Architecture</t>
  </si>
  <si>
    <t xml:space="preserve"> ARWA Solutions</t>
  </si>
  <si>
    <t xml:space="preserve">SEA Engeniring </t>
  </si>
  <si>
    <t>Hoppec</t>
  </si>
  <si>
    <t>30/01/2026</t>
  </si>
  <si>
    <t>Ana / Pedro</t>
  </si>
  <si>
    <t>Apresentação - Associação</t>
  </si>
  <si>
    <t>AECOA</t>
  </si>
  <si>
    <t>Ana /Maiza/David</t>
  </si>
  <si>
    <t>PHF /SINGULA</t>
  </si>
  <si>
    <t>Ana /Allen</t>
  </si>
  <si>
    <t>FRUTORRA</t>
  </si>
  <si>
    <t>Shane Hassan</t>
  </si>
  <si>
    <t>EarthSense</t>
  </si>
  <si>
    <t xml:space="preserve">NATURETRANCHE </t>
  </si>
  <si>
    <t>FTS</t>
  </si>
  <si>
    <t>The Bed Shop</t>
  </si>
  <si>
    <t>03/02/2026</t>
  </si>
  <si>
    <t xml:space="preserve"> Theo United</t>
  </si>
  <si>
    <t>Emirates Snack Foood</t>
  </si>
  <si>
    <t>Oman Refreshment Co</t>
  </si>
  <si>
    <t>04/02/2026</t>
  </si>
  <si>
    <t>ERAM Floors</t>
  </si>
  <si>
    <t xml:space="preserve">Core Concept </t>
  </si>
  <si>
    <t>OryxArch</t>
  </si>
  <si>
    <t>White Oryx</t>
  </si>
  <si>
    <t>Blue Marine, FU</t>
  </si>
  <si>
    <t>05/02/2026</t>
  </si>
  <si>
    <t>Stadia</t>
  </si>
  <si>
    <t>JK Group</t>
  </si>
  <si>
    <t>06/02/2026</t>
  </si>
  <si>
    <t>A2Z Office</t>
  </si>
  <si>
    <t>2,5</t>
  </si>
  <si>
    <t>Noaf Group</t>
  </si>
  <si>
    <t>Ana /David</t>
  </si>
  <si>
    <t>INNATAM</t>
  </si>
  <si>
    <t>Graphite</t>
  </si>
  <si>
    <t>Ana /David /Maiza</t>
  </si>
  <si>
    <t>09/02/2026</t>
  </si>
  <si>
    <t>Spinneys</t>
  </si>
  <si>
    <t>Encore</t>
  </si>
  <si>
    <t>PHF</t>
  </si>
  <si>
    <t xml:space="preserve">Pearl Coast Internation </t>
  </si>
  <si>
    <t>Promo Food</t>
  </si>
  <si>
    <t>Label VIe</t>
  </si>
  <si>
    <t>Sultan Furnishing</t>
  </si>
  <si>
    <t>GE</t>
  </si>
  <si>
    <t>Giorgi Zangaladze</t>
  </si>
  <si>
    <t>Chorfi</t>
  </si>
  <si>
    <t>11/02/2026</t>
  </si>
  <si>
    <t>Singula</t>
  </si>
  <si>
    <t>Trient Trading</t>
  </si>
  <si>
    <t>Consultancy Group</t>
  </si>
  <si>
    <t>Mute</t>
  </si>
  <si>
    <t>Group AMANA</t>
  </si>
  <si>
    <t>Power Center</t>
  </si>
  <si>
    <t>RM Confeções</t>
  </si>
  <si>
    <t>Reach Food, FU</t>
  </si>
  <si>
    <t>TZ</t>
  </si>
  <si>
    <t>Franz Company</t>
  </si>
  <si>
    <t>Egyptian Canadian Group</t>
  </si>
  <si>
    <t xml:space="preserve">DKH Construction </t>
  </si>
  <si>
    <t xml:space="preserve">Maurimaint </t>
  </si>
  <si>
    <t>13/2/2026</t>
  </si>
  <si>
    <t>Ghuzlan Furniture</t>
  </si>
  <si>
    <t>Ana / David</t>
  </si>
  <si>
    <t>INNATAN</t>
  </si>
  <si>
    <t>Ana /Pedro</t>
  </si>
  <si>
    <t>AEB</t>
  </si>
  <si>
    <t>Ana/ Pedro</t>
  </si>
  <si>
    <t>AEE</t>
  </si>
  <si>
    <t>12/02/2026</t>
  </si>
  <si>
    <t>Resumo Matinal</t>
  </si>
  <si>
    <t>13/02/2026</t>
  </si>
  <si>
    <t>16/2/2026</t>
  </si>
  <si>
    <t>CMPG</t>
  </si>
  <si>
    <t>Saif Azam</t>
  </si>
  <si>
    <t>HWS</t>
  </si>
  <si>
    <t xml:space="preserve">Black Knight </t>
  </si>
  <si>
    <t>Adaa</t>
  </si>
  <si>
    <t>18/2/2026</t>
  </si>
  <si>
    <t>RAC</t>
  </si>
  <si>
    <t>Yateem Air Conditioning</t>
  </si>
  <si>
    <t>CPC Holding</t>
  </si>
  <si>
    <t>R Mixed</t>
  </si>
  <si>
    <t>Beyond Linen</t>
  </si>
  <si>
    <t xml:space="preserve">Shane Hassan </t>
  </si>
  <si>
    <t>David/Julia</t>
  </si>
  <si>
    <t>Saïid Kobeisy</t>
  </si>
  <si>
    <t>19/2/2026</t>
  </si>
  <si>
    <t>Heat Master International</t>
  </si>
  <si>
    <t>David/Ângela</t>
  </si>
  <si>
    <t>INNNATAM</t>
  </si>
  <si>
    <t>Saudi Emaar</t>
  </si>
  <si>
    <t>Gate Holding</t>
  </si>
  <si>
    <t>GBI</t>
  </si>
  <si>
    <t>Temperatta Alimentos</t>
  </si>
  <si>
    <t>Sandepar</t>
  </si>
  <si>
    <t>Insight Trading</t>
  </si>
  <si>
    <t>20/02/2026</t>
  </si>
  <si>
    <t xml:space="preserve">Ana /Pedro/Julia </t>
  </si>
  <si>
    <t>AICEP</t>
  </si>
  <si>
    <t>Ana /Pedro/David</t>
  </si>
  <si>
    <t>Reunião de status</t>
  </si>
  <si>
    <t>Madeivouga</t>
  </si>
  <si>
    <t xml:space="preserve">Pavinorte </t>
  </si>
  <si>
    <t>Mark&amp;Save</t>
  </si>
  <si>
    <t>Kuwait Heat Transfer</t>
  </si>
  <si>
    <t>23/02/2026</t>
  </si>
  <si>
    <t>MARK &amp; SAVE</t>
  </si>
  <si>
    <t>CozyHomes </t>
  </si>
  <si>
    <t>Buthaina Humaidy Interiors</t>
  </si>
  <si>
    <t xml:space="preserve">MOLDYN TECHNICAL PLASTICS </t>
  </si>
  <si>
    <t>24/02/2026</t>
  </si>
  <si>
    <t>Hortisud</t>
  </si>
  <si>
    <t>CO</t>
  </si>
  <si>
    <t>Colombia Bim Consulting</t>
  </si>
  <si>
    <t>Ângela</t>
  </si>
  <si>
    <t>Innatam</t>
  </si>
  <si>
    <t>ELE Interior Design</t>
  </si>
  <si>
    <t>25/02/2026</t>
  </si>
  <si>
    <t>Rezlan Home</t>
  </si>
  <si>
    <t xml:space="preserve"> Tekzone Industrial</t>
  </si>
  <si>
    <t>Holding willix</t>
  </si>
  <si>
    <t xml:space="preserve">Sanabel Landscaping </t>
  </si>
  <si>
    <t>Lime design Lab</t>
  </si>
  <si>
    <t xml:space="preserve">Graphite Technologies </t>
  </si>
  <si>
    <t>Marplast</t>
  </si>
  <si>
    <t> Savola Foods Distribution</t>
  </si>
  <si>
    <t>26/02/2026</t>
  </si>
  <si>
    <t>Mahy Koory</t>
  </si>
  <si>
    <t>Dar Al-Alamia</t>
  </si>
  <si>
    <t>Pic Contrating</t>
  </si>
  <si>
    <t>FB Architects</t>
  </si>
  <si>
    <t>Agriven</t>
  </si>
  <si>
    <t>27/02/2026</t>
  </si>
  <si>
    <t xml:space="preserve">Ana /Angela </t>
  </si>
  <si>
    <t xml:space="preserve">Reunião status </t>
  </si>
  <si>
    <t>Frutorra</t>
  </si>
  <si>
    <t>Ana / Maiza</t>
  </si>
  <si>
    <t xml:space="preserve">Reunião de Status </t>
  </si>
  <si>
    <t>Al Sultan Hospitality</t>
  </si>
  <si>
    <t>CL</t>
  </si>
  <si>
    <t>Passiva</t>
  </si>
  <si>
    <t xml:space="preserve">R Mixed </t>
  </si>
  <si>
    <t>Zero G Beds</t>
  </si>
  <si>
    <t>Sofimed</t>
  </si>
  <si>
    <t>Graphite Technologies</t>
  </si>
  <si>
    <t>Seprob</t>
  </si>
  <si>
    <t>Sididis Construction</t>
  </si>
  <si>
    <t>Qad-Net</t>
  </si>
  <si>
    <t>YIH Architects &amp; Consultants</t>
  </si>
  <si>
    <t>Denold</t>
  </si>
  <si>
    <t xml:space="preserve">Agroespace </t>
  </si>
  <si>
    <t>Seen architects</t>
  </si>
  <si>
    <t>Kilani Groupe</t>
  </si>
  <si>
    <t>Delta Foods Industry</t>
  </si>
  <si>
    <t>REDCON</t>
  </si>
  <si>
    <t>Safat Home</t>
  </si>
  <si>
    <t>Fugini</t>
  </si>
  <si>
    <t>GR Management</t>
  </si>
  <si>
    <t>EEC</t>
  </si>
  <si>
    <t>Ana/Angela</t>
  </si>
  <si>
    <t>Sagiper</t>
  </si>
  <si>
    <t>TOPECA</t>
  </si>
  <si>
    <t>Ana / Julia</t>
  </si>
  <si>
    <t>Fernades e Sampaio</t>
  </si>
  <si>
    <t>Lafarge Holcim</t>
  </si>
  <si>
    <t>Cosider TP</t>
  </si>
  <si>
    <t>AgriEdge</t>
  </si>
  <si>
    <t>Red Sea Pipes</t>
  </si>
  <si>
    <t>GASCO</t>
  </si>
  <si>
    <t>45 Trading</t>
  </si>
  <si>
    <t>Casa Awdan</t>
  </si>
  <si>
    <t>ConCreative Consultancy</t>
  </si>
  <si>
    <t>Cart Supermarket</t>
  </si>
  <si>
    <t>Leminar</t>
  </si>
  <si>
    <t>INGEMEC</t>
  </si>
  <si>
    <t>Farah Architects</t>
  </si>
  <si>
    <t>MOBIL Arquitectos</t>
  </si>
  <si>
    <t xml:space="preserve">BL Arquitectos </t>
  </si>
  <si>
    <t>NAT Habitat Interiors</t>
  </si>
  <si>
    <t>Choithrams</t>
  </si>
  <si>
    <t>RDS</t>
  </si>
  <si>
    <t>Havelock One Interiors</t>
  </si>
  <si>
    <t xml:space="preserve"> Franz Company</t>
  </si>
  <si>
    <t>Diar Consulting Group</t>
  </si>
  <si>
    <t>UCC Holding</t>
  </si>
  <si>
    <t>Realturf</t>
  </si>
  <si>
    <t>Sosem</t>
  </si>
  <si>
    <t>(reunião website)</t>
  </si>
  <si>
    <t>Magic Way</t>
  </si>
  <si>
    <t>EHSAN Al ABBAD CONSULT ENGINEERING</t>
  </si>
  <si>
    <t>Ana / Julia/ Pedro</t>
  </si>
  <si>
    <t>Artemis</t>
  </si>
  <si>
    <t>B2 Consultancy</t>
  </si>
  <si>
    <t>United Gulf Construction Company</t>
  </si>
  <si>
    <t>PMO Consultancy</t>
  </si>
  <si>
    <t>Absal Paul Contracting</t>
  </si>
  <si>
    <t>Nge Maroc</t>
  </si>
  <si>
    <t>LGSC</t>
  </si>
  <si>
    <t>HAK Architectural and Engineering Consultants</t>
  </si>
  <si>
    <t>World Class</t>
  </si>
  <si>
    <t>MACOBATE</t>
  </si>
  <si>
    <t>United Gulf Construction</t>
  </si>
  <si>
    <t>Sleep Zone</t>
  </si>
  <si>
    <t>18/03/2026</t>
  </si>
  <si>
    <t>Projects World</t>
  </si>
  <si>
    <t>Asiya Fit-out</t>
  </si>
  <si>
    <t xml:space="preserve">CISMEKA </t>
  </si>
  <si>
    <t xml:space="preserve"> DMA for Design and Engineering Consultancy</t>
  </si>
  <si>
    <t>PFS</t>
  </si>
  <si>
    <t>CA</t>
  </si>
  <si>
    <t>Kalu Interiors</t>
  </si>
  <si>
    <t>UK</t>
  </si>
  <si>
    <t>ICA Studio</t>
  </si>
  <si>
    <t>Reunião Associação</t>
  </si>
  <si>
    <t>AEBB</t>
  </si>
  <si>
    <t>Ana/ Julia</t>
  </si>
  <si>
    <t>Urbiágua</t>
  </si>
  <si>
    <t>Chamada de Status</t>
  </si>
  <si>
    <t>PHF/SINGULA</t>
  </si>
  <si>
    <t>UNii Engineering Consultancy L.L.C</t>
  </si>
  <si>
    <t>23/03/2026</t>
  </si>
  <si>
    <t>ZA</t>
  </si>
  <si>
    <t>Saldanha</t>
  </si>
  <si>
    <t>KITEA</t>
  </si>
  <si>
    <t>United C.S.</t>
  </si>
  <si>
    <t>Dawaer Alsharq</t>
  </si>
  <si>
    <t>CBE Maroc</t>
  </si>
  <si>
    <t>EGEC</t>
  </si>
  <si>
    <t>Proturf</t>
  </si>
  <si>
    <t>Topeca</t>
  </si>
  <si>
    <t>Fodil</t>
  </si>
  <si>
    <t>Pro turf</t>
  </si>
  <si>
    <t>Ângela/Allen</t>
  </si>
  <si>
    <t>Chef2Chef</t>
  </si>
  <si>
    <t>Al Saqf Engineering Consultancy</t>
  </si>
  <si>
    <t>Tano Studio</t>
  </si>
  <si>
    <t>Alwanka</t>
  </si>
  <si>
    <t xml:space="preserve"> Sonnet Construction</t>
  </si>
  <si>
    <t>Sogea Maroc</t>
  </si>
  <si>
    <t>Object Designs</t>
  </si>
  <si>
    <t>One Dimension</t>
  </si>
  <si>
    <t>Stella Hospitality</t>
  </si>
  <si>
    <t>Qeblawi Brooks</t>
  </si>
  <si>
    <t>Truebell</t>
  </si>
  <si>
    <t>OFFSET Polyplast</t>
  </si>
  <si>
    <t>Ana/Pedro</t>
  </si>
  <si>
    <t>AIMMAP</t>
  </si>
  <si>
    <t>CEFAMOL</t>
  </si>
  <si>
    <t>APICCAPS/Fernades e Sampaio</t>
  </si>
  <si>
    <t>Ibernop</t>
  </si>
  <si>
    <t>Aronligth</t>
  </si>
  <si>
    <t>Nord Mile</t>
  </si>
  <si>
    <t>Seafood Souq</t>
  </si>
  <si>
    <t>Good Hope Sales</t>
  </si>
  <si>
    <t>TBC</t>
  </si>
  <si>
    <t>Greenline</t>
  </si>
  <si>
    <t>Alkayan Decor</t>
  </si>
  <si>
    <t>Target</t>
  </si>
  <si>
    <t>MOBCO Group</t>
  </si>
  <si>
    <t>ESCO</t>
  </si>
  <si>
    <t>Diar Consulting</t>
  </si>
  <si>
    <t>Valtech</t>
  </si>
  <si>
    <t>La Boutique de L´arrosage</t>
  </si>
  <si>
    <t>Robelbois</t>
  </si>
  <si>
    <t>Mr Mine Déco</t>
  </si>
  <si>
    <t>Labelvie</t>
  </si>
  <si>
    <t>Ajafco Beddings</t>
  </si>
  <si>
    <t>Tomu Construction</t>
  </si>
  <si>
    <t>KST BAT</t>
  </si>
  <si>
    <t>Aqua treat</t>
  </si>
  <si>
    <t xml:space="preserve">Rowad </t>
  </si>
  <si>
    <t>FNPI</t>
  </si>
  <si>
    <t>Newmann International</t>
  </si>
  <si>
    <t>Bluestream</t>
  </si>
  <si>
    <t xml:space="preserve">Al Saqf Engineering Consultancy </t>
  </si>
  <si>
    <t>Royalverd</t>
  </si>
  <si>
    <t>IMS</t>
  </si>
  <si>
    <t>Albaraka Wood</t>
  </si>
  <si>
    <t>Luxvia Design</t>
  </si>
  <si>
    <t>EquiPro</t>
  </si>
  <si>
    <t>Ana/ Angela</t>
  </si>
  <si>
    <t>MagicWay</t>
  </si>
  <si>
    <t>Atlantic Wood</t>
  </si>
  <si>
    <t>IBERNOP</t>
  </si>
  <si>
    <t>IPENG</t>
  </si>
  <si>
    <t>Groupe Addoha</t>
  </si>
  <si>
    <t>Idea Sports</t>
  </si>
  <si>
    <t>Phoenix Design &amp; Fit out &amp; Trading</t>
  </si>
  <si>
    <t>Comaner</t>
  </si>
  <si>
    <t>Tamimi Markets</t>
  </si>
  <si>
    <t>Badr and Asfour Company</t>
  </si>
  <si>
    <t>Al Saif Horeca</t>
  </si>
  <si>
    <t>SpaceWell</t>
  </si>
  <si>
    <t>Heatec</t>
  </si>
  <si>
    <t>Tareqix</t>
  </si>
  <si>
    <t xml:space="preserve">SAS Construction &amp; Contracting </t>
  </si>
  <si>
    <t>Répertoire Culinaire</t>
  </si>
  <si>
    <t>2MD Foot</t>
  </si>
  <si>
    <t>Hammer and Heart</t>
  </si>
  <si>
    <t>Al Bonian</t>
  </si>
  <si>
    <t>Buna Holding</t>
  </si>
  <si>
    <t>Spencer Interiors &amp; Contracting</t>
  </si>
  <si>
    <t>GeoScapes</t>
  </si>
  <si>
    <t>BiOrganic</t>
  </si>
  <si>
    <t>Eleven Plus</t>
  </si>
  <si>
    <t>Luxury Hospitality</t>
  </si>
  <si>
    <t>Aquagenie</t>
  </si>
  <si>
    <t xml:space="preserve">Showcase </t>
  </si>
  <si>
    <t>Casual Choose</t>
  </si>
  <si>
    <t>MAGNA General Trading Co.</t>
  </si>
  <si>
    <t>Energy Tech Prime</t>
  </si>
  <si>
    <t>GBI Sarl</t>
  </si>
  <si>
    <t>Patiohome</t>
  </si>
  <si>
    <t>Glorious Groupe</t>
  </si>
  <si>
    <t>Hospitality Supplies International</t>
  </si>
  <si>
    <t>Jkan Interior</t>
  </si>
  <si>
    <t>Al Hamd Logistique</t>
  </si>
  <si>
    <t>Val Alimentos</t>
  </si>
  <si>
    <t>4 (reunião presencial na Sagal)</t>
  </si>
  <si>
    <t>Hospitality Linens</t>
  </si>
  <si>
    <t>RJN</t>
  </si>
  <si>
    <t>Kinan</t>
  </si>
  <si>
    <t>Comatech</t>
  </si>
  <si>
    <t>GENAN</t>
  </si>
  <si>
    <t>Sports Unica</t>
  </si>
  <si>
    <t>Art vert</t>
  </si>
  <si>
    <t>FitOut Bureau Interiors</t>
  </si>
  <si>
    <t>Meliora</t>
  </si>
  <si>
    <t>GIECO</t>
  </si>
  <si>
    <t>Jidar Architects</t>
  </si>
  <si>
    <t>Riad Les Yeux Bleus</t>
  </si>
  <si>
    <t>MLB</t>
  </si>
  <si>
    <t>ALWANKA</t>
  </si>
  <si>
    <t>Pavinorte</t>
  </si>
  <si>
    <t>AMG Building</t>
  </si>
  <si>
    <t>UNICOP</t>
  </si>
  <si>
    <t>N/A (reunião com associação)</t>
  </si>
  <si>
    <t>Vital fer</t>
  </si>
  <si>
    <t>Sanar Intérieurs</t>
  </si>
  <si>
    <t>BCM</t>
  </si>
  <si>
    <t>Wafa Holding</t>
  </si>
  <si>
    <t>AICON Cotracting and Agencies</t>
  </si>
  <si>
    <t>Reunião Final de Projeto</t>
  </si>
  <si>
    <t>Conformetal</t>
  </si>
  <si>
    <t>KTAA</t>
  </si>
  <si>
    <t>C&amp;H ENERGY SARL</t>
  </si>
  <si>
    <t xml:space="preserve">Atlas Veterinaire </t>
  </si>
  <si>
    <t>N/A (reunião presencial na SIAM)</t>
  </si>
  <si>
    <t>SPK International</t>
  </si>
  <si>
    <t xml:space="preserve">Al- Othman Holding Company </t>
  </si>
  <si>
    <t>Artelia Maroc</t>
  </si>
  <si>
    <t>United Hospitality</t>
  </si>
  <si>
    <t>UNIMER Group</t>
  </si>
  <si>
    <t>La Vida Casa</t>
  </si>
  <si>
    <t xml:space="preserve">Groupe Ouakkaha  </t>
  </si>
  <si>
    <t xml:space="preserve">Academie D’Agriculture D’Afrique </t>
  </si>
  <si>
    <t xml:space="preserve">Centre Régional d'Investissement Marrakech-Safi </t>
  </si>
  <si>
    <t xml:space="preserve">LIAV </t>
  </si>
  <si>
    <t>Easrtsense</t>
  </si>
  <si>
    <t>Saudi Icon</t>
  </si>
  <si>
    <t>Aicha</t>
  </si>
  <si>
    <t xml:space="preserve">Laboratoires Nilys </t>
  </si>
  <si>
    <t xml:space="preserve">FirmaPro </t>
  </si>
  <si>
    <t xml:space="preserve">VitGroup  </t>
  </si>
  <si>
    <t>Netafim</t>
  </si>
  <si>
    <t>Arraw Solution</t>
  </si>
  <si>
    <t>CMPG.Cas</t>
  </si>
  <si>
    <t>Sowit</t>
  </si>
  <si>
    <t>Agriedge</t>
  </si>
  <si>
    <t>Magriser</t>
  </si>
  <si>
    <t>Urban Green Landscapes</t>
  </si>
  <si>
    <t xml:space="preserve">WILO </t>
  </si>
  <si>
    <t xml:space="preserve">Adams Vetraceuticals </t>
  </si>
  <si>
    <t>NovoVet</t>
  </si>
  <si>
    <t>AIHM</t>
  </si>
  <si>
    <t>GalaxyLab</t>
  </si>
  <si>
    <t>Eagle Hill Morocco</t>
  </si>
  <si>
    <t xml:space="preserve">Majid Al Futtaim </t>
  </si>
  <si>
    <t>GeoScapes, FU</t>
  </si>
  <si>
    <t xml:space="preserve">Loutfi Amenagement International </t>
  </si>
  <si>
    <t xml:space="preserve">Geoscape </t>
  </si>
  <si>
    <t>Alinhamento Batimatec</t>
  </si>
  <si>
    <t>Grupo Eleva</t>
  </si>
  <si>
    <t>Associação</t>
  </si>
  <si>
    <t>AEMinho</t>
  </si>
  <si>
    <t>APIP</t>
  </si>
  <si>
    <t>Chamada Final de Projeto</t>
  </si>
  <si>
    <t>Ana/ Henrique</t>
  </si>
  <si>
    <t>Tecnifreza</t>
  </si>
  <si>
    <t xml:space="preserve">WL Food Marketing Service </t>
  </si>
  <si>
    <t>N/A (reunião presencial)</t>
  </si>
  <si>
    <t>Chef 2 Chef</t>
  </si>
  <si>
    <t>The Landscape Company</t>
  </si>
  <si>
    <t>iSpaceInteriors</t>
  </si>
  <si>
    <t>SARL BUILDING FLUID ENGINEERING</t>
  </si>
  <si>
    <t>Buildmart</t>
  </si>
  <si>
    <t>CIV</t>
  </si>
  <si>
    <t>Group ivoire Vision</t>
  </si>
  <si>
    <t>RAS Ambition International</t>
  </si>
  <si>
    <t>SICC</t>
  </si>
  <si>
    <t>Oxxo</t>
  </si>
  <si>
    <t>Seafresh Shop DXB</t>
  </si>
  <si>
    <t>Reach Food Group</t>
  </si>
  <si>
    <t>JG Architecture</t>
  </si>
  <si>
    <t>Ariika</t>
  </si>
  <si>
    <t>Conserverie Sidi Ifni Fish</t>
  </si>
  <si>
    <t>SKY Architects</t>
  </si>
  <si>
    <t>OBTP</t>
  </si>
  <si>
    <t>Temara Steel</t>
  </si>
  <si>
    <t xml:space="preserve">Al Azima </t>
  </si>
  <si>
    <t>AU</t>
  </si>
  <si>
    <t>The Green Group</t>
  </si>
  <si>
    <t>Groupe des Sociétés Hasnaoui</t>
  </si>
  <si>
    <t>Cismeka</t>
  </si>
  <si>
    <t>Follow up</t>
  </si>
  <si>
    <t>EasyPorta Global</t>
  </si>
  <si>
    <t>ENIEM</t>
  </si>
  <si>
    <t>Tanseeq</t>
  </si>
  <si>
    <t>Final Version</t>
  </si>
  <si>
    <t>Ana/Henrique</t>
  </si>
  <si>
    <t>EMEBCI Engineering</t>
  </si>
  <si>
    <t>Core concept</t>
  </si>
  <si>
    <t>Asas Makeen</t>
  </si>
  <si>
    <t>DIYAR Design</t>
  </si>
  <si>
    <t>Condor Immo</t>
  </si>
  <si>
    <t>N/A (reunião presencial Batimatec)</t>
  </si>
  <si>
    <t>Leaders Building</t>
  </si>
  <si>
    <t>Al Amara International</t>
  </si>
  <si>
    <t>Verdascape</t>
  </si>
  <si>
    <t xml:space="preserve">KM WOOD SARL </t>
  </si>
  <si>
    <t>PROMOTION IMMOBILIERE BABAADDOUN MOUSSA</t>
  </si>
  <si>
    <t>BEDAIDA.S Atelier Architecture &amp; Engineering</t>
  </si>
  <si>
    <t>ARCHI - DESIGN</t>
  </si>
  <si>
    <t>NEF Architecture &amp; Design</t>
  </si>
  <si>
    <t>S.RIAD ARCHITECT</t>
  </si>
  <si>
    <t>PT</t>
  </si>
  <si>
    <t>Core concept / Singula</t>
  </si>
  <si>
    <t>Edole Africa</t>
  </si>
  <si>
    <t>Lafarge</t>
  </si>
  <si>
    <t xml:space="preserve">Alyasra Fashion </t>
  </si>
  <si>
    <t>Pro Turf</t>
  </si>
  <si>
    <t>Bayara</t>
  </si>
  <si>
    <t>Almoallim United</t>
  </si>
  <si>
    <t xml:space="preserve">Stella Hospitality </t>
  </si>
  <si>
    <t>HA Hospitality</t>
  </si>
  <si>
    <t xml:space="preserve">OM ND Construction et Aménagement </t>
  </si>
  <si>
    <t>Henrique</t>
  </si>
  <si>
    <t>Ezio Design</t>
  </si>
  <si>
    <t>CICA BTP</t>
  </si>
  <si>
    <t>Boetsch</t>
  </si>
  <si>
    <t>Oxycoupe</t>
  </si>
  <si>
    <t>Blumar Resort &amp; Spa</t>
  </si>
  <si>
    <t>Carthago Immobiliere</t>
  </si>
  <si>
    <t xml:space="preserve">Mafoder </t>
  </si>
  <si>
    <t>MCM Déco</t>
  </si>
  <si>
    <t>Archi-Brands</t>
  </si>
  <si>
    <t>Alnabil Construction</t>
  </si>
  <si>
    <t>ATG Maroc</t>
  </si>
  <si>
    <t>B4Creation Group</t>
  </si>
  <si>
    <t xml:space="preserve">ROSHN </t>
  </si>
  <si>
    <t xml:space="preserve">Courtstech </t>
  </si>
  <si>
    <t>T Four Plus</t>
  </si>
  <si>
    <t>Hassan Allam Holding</t>
  </si>
  <si>
    <t>Risala Furniture</t>
  </si>
  <si>
    <t>Tecfides</t>
  </si>
  <si>
    <t>Woodstyles</t>
  </si>
  <si>
    <t>L'Académie d’Agriculture d’Afrique</t>
  </si>
  <si>
    <t>Zamillight</t>
  </si>
  <si>
    <t>ADC - Architecture and Design Consultants</t>
  </si>
  <si>
    <t>Géant / Monoprix</t>
  </si>
  <si>
    <t>BAUMAT</t>
  </si>
  <si>
    <t>Requia</t>
  </si>
  <si>
    <t>Bounty Foods &amp; Care</t>
  </si>
  <si>
    <t>Cairnstone</t>
  </si>
  <si>
    <t>Nodeen Group</t>
  </si>
  <si>
    <t>INZU Smart</t>
  </si>
  <si>
    <t>Bid Food KSA</t>
  </si>
  <si>
    <t>Mild Designs</t>
  </si>
  <si>
    <t>DOJ Contractors</t>
  </si>
  <si>
    <t>SOCOTEC</t>
  </si>
  <si>
    <t>KASARR Holding</t>
  </si>
  <si>
    <t>Edole Africa Group</t>
  </si>
  <si>
    <t>SAAD</t>
  </si>
  <si>
    <t>Missão Empresarial</t>
  </si>
  <si>
    <t>Unica Sport</t>
  </si>
  <si>
    <t>Sapphire Textiles</t>
  </si>
  <si>
    <t xml:space="preserve">House of Ballerinas </t>
  </si>
  <si>
    <t>Al Obdeily</t>
  </si>
  <si>
    <t>LARA for Buildings Installation Works</t>
  </si>
  <si>
    <t>QLife</t>
  </si>
  <si>
    <t>Arab Contractors</t>
  </si>
  <si>
    <t>Mozak</t>
  </si>
  <si>
    <t>Mohammed Bouslikhane</t>
  </si>
  <si>
    <t>Confomat</t>
  </si>
  <si>
    <t>Gasrsteel</t>
  </si>
  <si>
    <t xml:space="preserve">Somachame </t>
  </si>
  <si>
    <t xml:space="preserve">Confometal </t>
  </si>
  <si>
    <t>CICA</t>
  </si>
  <si>
    <t>Oman Seven Star</t>
  </si>
  <si>
    <t>Algeria Prestige</t>
  </si>
  <si>
    <t>David/Henrique</t>
  </si>
  <si>
    <t>MIR (Aalmir) Plastic Industries</t>
  </si>
  <si>
    <t xml:space="preserve">Al Saad Home </t>
  </si>
  <si>
    <t>20/05/2026</t>
  </si>
  <si>
    <t xml:space="preserve">Alkuwaiti Group </t>
  </si>
  <si>
    <t xml:space="preserve">Food Group Trading </t>
  </si>
  <si>
    <t>Group Abdalas</t>
  </si>
  <si>
    <t>Grupo Eleva (MundiModulo)</t>
  </si>
  <si>
    <t>Abderrezak</t>
  </si>
  <si>
    <t>Fair Trading International</t>
  </si>
  <si>
    <t>21/05/2026</t>
  </si>
  <si>
    <t>Mascomid</t>
  </si>
  <si>
    <t>Structura</t>
  </si>
  <si>
    <t>Dar Kamy</t>
  </si>
  <si>
    <t>MACE</t>
  </si>
  <si>
    <t>Elite Global Trading</t>
  </si>
  <si>
    <t>Food Plus</t>
  </si>
  <si>
    <t>Ana/Pedro/Maiza/Marta</t>
  </si>
  <si>
    <t>AEP</t>
  </si>
  <si>
    <t>Apresentação</t>
  </si>
  <si>
    <t>KLOG</t>
  </si>
  <si>
    <t>EMC Live</t>
  </si>
  <si>
    <t>CMS</t>
  </si>
  <si>
    <t>Al Kazem</t>
  </si>
  <si>
    <t>Zaari Abdelhadi</t>
  </si>
  <si>
    <t>Industry Meeting Days</t>
  </si>
  <si>
    <t>Next Sourcing Limited </t>
  </si>
  <si>
    <t>Aalmir Plastic Industries</t>
  </si>
  <si>
    <t>Qasser</t>
  </si>
  <si>
    <t>United Sports Management</t>
  </si>
  <si>
    <t>Majees</t>
  </si>
  <si>
    <t>MEC</t>
  </si>
  <si>
    <t>Tokimo</t>
  </si>
  <si>
    <t>Label Vie</t>
  </si>
  <si>
    <t>A-Zone Architects</t>
  </si>
  <si>
    <t>Turfken</t>
  </si>
  <si>
    <t xml:space="preserve"> Chamada de Status</t>
  </si>
  <si>
    <t xml:space="preserve">Garsteel </t>
  </si>
  <si>
    <t xml:space="preserve">WEBINAR </t>
  </si>
  <si>
    <t>PTGAL</t>
  </si>
  <si>
    <t>Parceiro</t>
  </si>
  <si>
    <t>DVS</t>
  </si>
  <si>
    <t>Dia começo</t>
  </si>
  <si>
    <t>Enero</t>
  </si>
  <si>
    <t>Febrero</t>
  </si>
  <si>
    <t>Marzo</t>
  </si>
  <si>
    <t>Mayo</t>
  </si>
  <si>
    <t>Junio</t>
  </si>
  <si>
    <t>9 de julho</t>
  </si>
  <si>
    <t>2.400 €</t>
  </si>
  <si>
    <t>5 de fevereiro</t>
  </si>
  <si>
    <t>3 de março</t>
  </si>
  <si>
    <t>4 de abril</t>
  </si>
  <si>
    <t>Freshland Harvest</t>
  </si>
  <si>
    <t>12 de maio</t>
  </si>
  <si>
    <t>3 de julho</t>
  </si>
  <si>
    <t>14 de julho</t>
  </si>
  <si>
    <t>7 de julho</t>
  </si>
  <si>
    <t>1 de setembro</t>
  </si>
  <si>
    <t>8 de outubro</t>
  </si>
  <si>
    <t>3 de novembro</t>
  </si>
  <si>
    <t>GL</t>
  </si>
  <si>
    <t>30 de dezembro</t>
  </si>
  <si>
    <t>5 de janeiro</t>
  </si>
  <si>
    <t>2.100 €</t>
  </si>
  <si>
    <t>6 de janeiro</t>
  </si>
  <si>
    <t>23 de janeiro</t>
  </si>
  <si>
    <t>28 de janeiro</t>
  </si>
  <si>
    <t>2 de fevereiro</t>
  </si>
  <si>
    <t>18 de fevereiro</t>
  </si>
  <si>
    <t>4 de março</t>
  </si>
  <si>
    <t>5 de março</t>
  </si>
  <si>
    <t>Urbiagua</t>
  </si>
  <si>
    <t>17 de março</t>
  </si>
  <si>
    <t>27 de março</t>
  </si>
  <si>
    <t>31 de março</t>
  </si>
  <si>
    <t>9 de abril</t>
  </si>
  <si>
    <t>13 de abril</t>
  </si>
  <si>
    <t>Braver</t>
  </si>
  <si>
    <t>27 de abril</t>
  </si>
  <si>
    <t>1 de maio</t>
  </si>
  <si>
    <t>2% - 4%</t>
  </si>
  <si>
    <t>PTGAL Business</t>
  </si>
  <si>
    <t>26 de maio</t>
  </si>
  <si>
    <t>Helitene</t>
  </si>
  <si>
    <t>Carldora</t>
  </si>
  <si>
    <t>Umbelino Monteiro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</si>
</sst>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\ &quot;€&quot;;[Red]\-#,##0\ &quot;€&quot;"/>
    <numFmt numFmtId="165" formatCode="#,##0\ &quot;€&quot;_);[Red]\(#,##0\ &quot;€&quot;\)"/>
    <numFmt numFmtId="166" formatCode="0.0"/>
    <numFmt numFmtId="167" formatCode="dd/mm/yy"/>
    <numFmt numFmtId="168" formatCode="d/m/yyyy;@"/>
    <numFmt numFmtId="169" formatCode="dd/mm/yyyy;@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3" tint="0.79998168889431442"/>
      <name val="Arial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3"/>
      <color theme="1"/>
      <name val="Calibri"/>
      <family val="2"/>
    </font>
    <font>
      <sz val="13"/>
      <color theme="1"/>
      <name val="Calibri"/>
      <family val="2"/>
      <scheme val="minor"/>
    </font>
    <font>
      <sz val="14"/>
      <color theme="2" tint="-9.9978637043366805E-2"/>
      <name val="Aptos Narrow"/>
      <family val="2"/>
    </font>
    <font>
      <sz val="11"/>
      <color theme="2" tint="-9.9978637043366805E-2"/>
      <name val="Calibri"/>
      <family val="2"/>
      <scheme val="minor"/>
    </font>
    <font>
      <sz val="12"/>
      <color theme="2" tint="-9.9978637043366805E-2"/>
      <name val="Aptos Narrow"/>
      <family val="2"/>
    </font>
    <font>
      <sz val="11"/>
      <color theme="2" tint="-0.749992370372631"/>
      <name val="Calibri"/>
      <family val="2"/>
      <scheme val="minor"/>
    </font>
    <font>
      <b/>
      <sz val="11"/>
      <color theme="2" tint="-0.74999237037263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6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</font>
  </fonts>
  <fills count="4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theme="6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0" tint="-0.14999847407452621"/>
      </patternFill>
    </fill>
    <fill>
      <patternFill patternType="solid">
        <fgColor theme="9" tint="0.59999389629810485"/>
        <bgColor theme="0" tint="-0.14999847407452621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DEDED"/>
        <bgColor rgb="FFD9D9D9"/>
      </patternFill>
    </fill>
    <fill>
      <patternFill patternType="solid">
        <fgColor rgb="FFEDEDED"/>
        <bgColor rgb="FF000000"/>
      </patternFill>
    </fill>
    <fill>
      <patternFill patternType="solid">
        <fgColor rgb="FF92D050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A5A5A5"/>
        <bgColor rgb="FFA5A5A5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0.749992370372631"/>
        <bgColor theme="0" tint="-0.14999847407452621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0B050"/>
        <bgColor rgb="FFD9D9D9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rgb="FFD9D9D9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rgb="FFD9D9D9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theme="0" tint="-0.14999847407452621"/>
      </patternFill>
    </fill>
    <fill>
      <patternFill patternType="solid">
        <fgColor theme="2" tint="-0.499984740745262"/>
        <bgColor rgb="FFD9D9D9"/>
      </patternFill>
    </fill>
    <fill>
      <patternFill patternType="solid">
        <fgColor rgb="FFFFC000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C000"/>
        <bgColor rgb="FFD9D9D9"/>
      </patternFill>
    </fill>
    <fill>
      <patternFill patternType="solid">
        <fgColor rgb="FF757171"/>
        <bgColor indexed="64"/>
      </patternFill>
    </fill>
    <fill>
      <patternFill patternType="solid">
        <fgColor theme="5" tint="-0.499984740745262"/>
        <bgColor theme="6"/>
      </patternFill>
    </fill>
    <fill>
      <patternFill patternType="solid">
        <fgColor theme="2" tint="-0.49998474074526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FFFFFF"/>
      </right>
      <top style="thin">
        <color indexed="64"/>
      </top>
      <bottom style="thin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indexed="64"/>
      </top>
      <bottom/>
      <diagonal/>
    </border>
    <border>
      <left style="thin">
        <color rgb="FFFFFFFF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9" fontId="21" fillId="0" borderId="0" applyFont="0" applyFill="0" applyBorder="0" applyAlignment="0" applyProtection="0"/>
  </cellStyleXfs>
  <cellXfs count="372">
    <xf numFmtId="0" fontId="0" fillId="0" borderId="0" xfId="0"/>
    <xf numFmtId="0" fontId="0" fillId="0" borderId="0" xfId="0" applyAlignment="1">
      <alignment horizontal="left"/>
    </xf>
    <xf numFmtId="17" fontId="3" fillId="5" borderId="0" xfId="0" applyNumberFormat="1" applyFont="1" applyFill="1"/>
    <xf numFmtId="0" fontId="1" fillId="6" borderId="2" xfId="0" applyFont="1" applyFill="1" applyBorder="1"/>
    <xf numFmtId="0" fontId="1" fillId="7" borderId="2" xfId="0" applyFont="1" applyFill="1" applyBorder="1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8" borderId="0" xfId="0" applyFill="1" applyAlignment="1">
      <alignment horizontal="left"/>
    </xf>
    <xf numFmtId="164" fontId="0" fillId="8" borderId="0" xfId="0" applyNumberFormat="1" applyFill="1" applyAlignment="1">
      <alignment horizontal="right" wrapText="1" indent="2"/>
    </xf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right" wrapText="1" indent="2"/>
    </xf>
    <xf numFmtId="0" fontId="0" fillId="6" borderId="0" xfId="0" applyFill="1" applyAlignment="1">
      <alignment horizontal="left"/>
    </xf>
    <xf numFmtId="164" fontId="0" fillId="6" borderId="0" xfId="0" applyNumberFormat="1" applyFill="1" applyAlignment="1">
      <alignment horizontal="right" wrapText="1" indent="2"/>
    </xf>
    <xf numFmtId="164" fontId="0" fillId="7" borderId="0" xfId="0" applyNumberFormat="1" applyFill="1" applyAlignment="1">
      <alignment horizontal="right" wrapText="1" indent="2"/>
    </xf>
    <xf numFmtId="0" fontId="0" fillId="7" borderId="0" xfId="0" applyFill="1" applyAlignment="1">
      <alignment horizontal="left"/>
    </xf>
    <xf numFmtId="0" fontId="4" fillId="0" borderId="1" xfId="0" applyFont="1" applyBorder="1"/>
    <xf numFmtId="0" fontId="0" fillId="11" borderId="1" xfId="0" applyFill="1" applyBorder="1"/>
    <xf numFmtId="0" fontId="0" fillId="11" borderId="1" xfId="0" applyFill="1" applyBorder="1" applyAlignment="1">
      <alignment horizontal="center"/>
    </xf>
    <xf numFmtId="0" fontId="5" fillId="0" borderId="0" xfId="0" applyFont="1"/>
    <xf numFmtId="17" fontId="3" fillId="5" borderId="8" xfId="0" applyNumberFormat="1" applyFont="1" applyFill="1" applyBorder="1"/>
    <xf numFmtId="17" fontId="3" fillId="5" borderId="19" xfId="0" applyNumberFormat="1" applyFont="1" applyFill="1" applyBorder="1"/>
    <xf numFmtId="17" fontId="0" fillId="3" borderId="0" xfId="0" applyNumberFormat="1" applyFill="1" applyAlignment="1">
      <alignment horizontal="center"/>
    </xf>
    <xf numFmtId="17" fontId="0" fillId="8" borderId="0" xfId="0" applyNumberFormat="1" applyFill="1" applyAlignment="1">
      <alignment horizontal="center"/>
    </xf>
    <xf numFmtId="17" fontId="0" fillId="6" borderId="0" xfId="0" applyNumberFormat="1" applyFill="1" applyAlignment="1">
      <alignment horizontal="center"/>
    </xf>
    <xf numFmtId="0" fontId="1" fillId="2" borderId="4" xfId="0" applyFont="1" applyFill="1" applyBorder="1" applyAlignment="1">
      <alignment horizontal="left"/>
    </xf>
    <xf numFmtId="164" fontId="0" fillId="2" borderId="6" xfId="0" applyNumberFormat="1" applyFill="1" applyBorder="1"/>
    <xf numFmtId="0" fontId="1" fillId="2" borderId="5" xfId="0" applyFont="1" applyFill="1" applyBorder="1" applyAlignment="1">
      <alignment horizontal="left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0" borderId="8" xfId="0" applyFill="1" applyBorder="1"/>
    <xf numFmtId="0" fontId="0" fillId="10" borderId="7" xfId="0" applyFill="1" applyBorder="1"/>
    <xf numFmtId="164" fontId="0" fillId="0" borderId="1" xfId="0" applyNumberFormat="1" applyBorder="1"/>
    <xf numFmtId="0" fontId="0" fillId="13" borderId="1" xfId="0" applyFill="1" applyBorder="1"/>
    <xf numFmtId="0" fontId="5" fillId="0" borderId="3" xfId="0" applyFont="1" applyBorder="1"/>
    <xf numFmtId="0" fontId="1" fillId="15" borderId="1" xfId="0" applyFont="1" applyFill="1" applyBorder="1" applyAlignment="1">
      <alignment horizontal="left"/>
    </xf>
    <xf numFmtId="0" fontId="1" fillId="12" borderId="0" xfId="0" applyFont="1" applyFill="1"/>
    <xf numFmtId="0" fontId="0" fillId="6" borderId="0" xfId="0" applyFill="1"/>
    <xf numFmtId="0" fontId="0" fillId="0" borderId="8" xfId="0" applyBorder="1"/>
    <xf numFmtId="0" fontId="0" fillId="10" borderId="1" xfId="0" applyFill="1" applyBorder="1"/>
    <xf numFmtId="0" fontId="0" fillId="16" borderId="1" xfId="0" applyFill="1" applyBorder="1"/>
    <xf numFmtId="17" fontId="0" fillId="7" borderId="0" xfId="0" applyNumberFormat="1" applyFill="1" applyAlignment="1">
      <alignment horizontal="center"/>
    </xf>
    <xf numFmtId="166" fontId="0" fillId="11" borderId="1" xfId="0" applyNumberFormat="1" applyFill="1" applyBorder="1"/>
    <xf numFmtId="0" fontId="7" fillId="0" borderId="0" xfId="0" applyFont="1"/>
    <xf numFmtId="0" fontId="9" fillId="17" borderId="1" xfId="0" applyFont="1" applyFill="1" applyBorder="1"/>
    <xf numFmtId="0" fontId="7" fillId="18" borderId="1" xfId="0" applyFont="1" applyFill="1" applyBorder="1"/>
    <xf numFmtId="0" fontId="7" fillId="0" borderId="1" xfId="0" applyFont="1" applyBorder="1"/>
    <xf numFmtId="0" fontId="8" fillId="17" borderId="1" xfId="0" applyFont="1" applyFill="1" applyBorder="1" applyAlignment="1">
      <alignment horizontal="left"/>
    </xf>
    <xf numFmtId="0" fontId="0" fillId="3" borderId="0" xfId="0" applyFill="1"/>
    <xf numFmtId="164" fontId="7" fillId="17" borderId="1" xfId="0" applyNumberFormat="1" applyFont="1" applyFill="1" applyBorder="1"/>
    <xf numFmtId="166" fontId="7" fillId="18" borderId="1" xfId="0" applyNumberFormat="1" applyFont="1" applyFill="1" applyBorder="1"/>
    <xf numFmtId="0" fontId="0" fillId="3" borderId="1" xfId="0" applyFill="1" applyBorder="1"/>
    <xf numFmtId="0" fontId="1" fillId="12" borderId="1" xfId="0" applyFont="1" applyFill="1" applyBorder="1"/>
    <xf numFmtId="0" fontId="7" fillId="22" borderId="24" xfId="0" applyFont="1" applyFill="1" applyBorder="1" applyAlignment="1">
      <alignment horizontal="center"/>
    </xf>
    <xf numFmtId="0" fontId="7" fillId="23" borderId="24" xfId="0" applyFont="1" applyFill="1" applyBorder="1" applyAlignment="1">
      <alignment horizontal="center"/>
    </xf>
    <xf numFmtId="14" fontId="7" fillId="23" borderId="24" xfId="0" applyNumberFormat="1" applyFont="1" applyFill="1" applyBorder="1" applyAlignment="1">
      <alignment horizontal="center"/>
    </xf>
    <xf numFmtId="0" fontId="10" fillId="23" borderId="24" xfId="0" applyFont="1" applyFill="1" applyBorder="1" applyAlignment="1">
      <alignment horizontal="center"/>
    </xf>
    <xf numFmtId="14" fontId="10" fillId="23" borderId="24" xfId="0" applyNumberFormat="1" applyFont="1" applyFill="1" applyBorder="1" applyAlignment="1">
      <alignment horizontal="center"/>
    </xf>
    <xf numFmtId="14" fontId="7" fillId="22" borderId="24" xfId="0" applyNumberFormat="1" applyFont="1" applyFill="1" applyBorder="1" applyAlignment="1">
      <alignment horizontal="center"/>
    </xf>
    <xf numFmtId="0" fontId="11" fillId="24" borderId="0" xfId="0" applyFont="1" applyFill="1" applyAlignment="1">
      <alignment horizontal="center"/>
    </xf>
    <xf numFmtId="0" fontId="7" fillId="22" borderId="25" xfId="0" applyFont="1" applyFill="1" applyBorder="1" applyAlignment="1">
      <alignment horizontal="center"/>
    </xf>
    <xf numFmtId="0" fontId="7" fillId="22" borderId="26" xfId="0" applyFont="1" applyFill="1" applyBorder="1" applyAlignment="1">
      <alignment horizontal="center"/>
    </xf>
    <xf numFmtId="0" fontId="13" fillId="10" borderId="27" xfId="0" applyFont="1" applyFill="1" applyBorder="1"/>
    <xf numFmtId="0" fontId="15" fillId="10" borderId="27" xfId="0" applyFont="1" applyFill="1" applyBorder="1"/>
    <xf numFmtId="0" fontId="14" fillId="10" borderId="27" xfId="0" applyFont="1" applyFill="1" applyBorder="1"/>
    <xf numFmtId="0" fontId="8" fillId="19" borderId="21" xfId="0" applyFont="1" applyFill="1" applyBorder="1"/>
    <xf numFmtId="0" fontId="8" fillId="20" borderId="22" xfId="0" applyFont="1" applyFill="1" applyBorder="1"/>
    <xf numFmtId="164" fontId="8" fillId="20" borderId="23" xfId="0" applyNumberFormat="1" applyFont="1" applyFill="1" applyBorder="1"/>
    <xf numFmtId="0" fontId="8" fillId="21" borderId="1" xfId="0" applyFont="1" applyFill="1" applyBorder="1"/>
    <xf numFmtId="14" fontId="7" fillId="22" borderId="26" xfId="0" applyNumberFormat="1" applyFont="1" applyFill="1" applyBorder="1" applyAlignment="1">
      <alignment horizontal="center"/>
    </xf>
    <xf numFmtId="0" fontId="1" fillId="8" borderId="0" xfId="0" applyFont="1" applyFill="1"/>
    <xf numFmtId="0" fontId="0" fillId="3" borderId="37" xfId="0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1" fillId="8" borderId="30" xfId="0" applyFont="1" applyFill="1" applyBorder="1"/>
    <xf numFmtId="0" fontId="1" fillId="8" borderId="37" xfId="0" applyFont="1" applyFill="1" applyBorder="1"/>
    <xf numFmtId="0" fontId="0" fillId="8" borderId="28" xfId="0" applyFill="1" applyBorder="1"/>
    <xf numFmtId="0" fontId="0" fillId="8" borderId="36" xfId="0" applyFill="1" applyBorder="1"/>
    <xf numFmtId="0" fontId="0" fillId="8" borderId="35" xfId="0" applyFill="1" applyBorder="1"/>
    <xf numFmtId="0" fontId="0" fillId="8" borderId="28" xfId="0" applyFill="1" applyBorder="1" applyAlignment="1">
      <alignment horizontal="center"/>
    </xf>
    <xf numFmtId="0" fontId="0" fillId="8" borderId="30" xfId="0" applyFill="1" applyBorder="1" applyAlignment="1">
      <alignment horizontal="center"/>
    </xf>
    <xf numFmtId="0" fontId="0" fillId="8" borderId="40" xfId="0" applyFill="1" applyBorder="1" applyAlignment="1">
      <alignment horizontal="center"/>
    </xf>
    <xf numFmtId="0" fontId="0" fillId="8" borderId="39" xfId="0" applyFill="1" applyBorder="1" applyAlignment="1">
      <alignment horizontal="center"/>
    </xf>
    <xf numFmtId="0" fontId="0" fillId="8" borderId="37" xfId="0" applyFill="1" applyBorder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12" borderId="0" xfId="0" applyFill="1"/>
    <xf numFmtId="17" fontId="0" fillId="6" borderId="0" xfId="0" applyNumberFormat="1" applyFill="1" applyAlignment="1">
      <alignment horizontal="left"/>
    </xf>
    <xf numFmtId="165" fontId="0" fillId="6" borderId="0" xfId="0" applyNumberFormat="1" applyFill="1" applyAlignment="1">
      <alignment horizontal="right"/>
    </xf>
    <xf numFmtId="17" fontId="0" fillId="6" borderId="0" xfId="0" applyNumberFormat="1" applyFill="1"/>
    <xf numFmtId="0" fontId="0" fillId="7" borderId="0" xfId="0" applyFill="1"/>
    <xf numFmtId="0" fontId="0" fillId="26" borderId="0" xfId="0" applyFill="1"/>
    <xf numFmtId="17" fontId="0" fillId="25" borderId="0" xfId="0" applyNumberFormat="1" applyFill="1" applyAlignment="1">
      <alignment horizontal="center"/>
    </xf>
    <xf numFmtId="17" fontId="0" fillId="26" borderId="0" xfId="0" applyNumberFormat="1" applyFill="1" applyAlignment="1">
      <alignment horizontal="center"/>
    </xf>
    <xf numFmtId="0" fontId="1" fillId="25" borderId="0" xfId="0" applyFont="1" applyFill="1" applyAlignment="1">
      <alignment horizontal="left"/>
    </xf>
    <xf numFmtId="164" fontId="0" fillId="25" borderId="0" xfId="0" applyNumberFormat="1" applyFill="1" applyAlignment="1">
      <alignment horizontal="right" wrapText="1" indent="2"/>
    </xf>
    <xf numFmtId="0" fontId="0" fillId="26" borderId="0" xfId="0" applyFill="1" applyAlignment="1">
      <alignment horizontal="center"/>
    </xf>
    <xf numFmtId="0" fontId="0" fillId="26" borderId="1" xfId="0" applyFill="1" applyBorder="1"/>
    <xf numFmtId="0" fontId="1" fillId="26" borderId="1" xfId="0" applyFont="1" applyFill="1" applyBorder="1"/>
    <xf numFmtId="0" fontId="3" fillId="5" borderId="8" xfId="0" applyFont="1" applyFill="1" applyBorder="1" applyAlignment="1">
      <alignment horizontal="center"/>
    </xf>
    <xf numFmtId="0" fontId="7" fillId="18" borderId="8" xfId="0" applyFont="1" applyFill="1" applyBorder="1"/>
    <xf numFmtId="0" fontId="0" fillId="8" borderId="31" xfId="0" applyFill="1" applyBorder="1" applyAlignment="1">
      <alignment horizontal="center"/>
    </xf>
    <xf numFmtId="17" fontId="16" fillId="26" borderId="0" xfId="0" applyNumberFormat="1" applyFont="1" applyFill="1" applyAlignment="1">
      <alignment horizontal="center"/>
    </xf>
    <xf numFmtId="0" fontId="17" fillId="25" borderId="0" xfId="0" applyFont="1" applyFill="1" applyAlignment="1">
      <alignment horizontal="left"/>
    </xf>
    <xf numFmtId="0" fontId="16" fillId="26" borderId="0" xfId="0" applyFont="1" applyFill="1" applyAlignment="1">
      <alignment horizontal="center"/>
    </xf>
    <xf numFmtId="0" fontId="1" fillId="3" borderId="0" xfId="0" applyFont="1" applyFill="1"/>
    <xf numFmtId="0" fontId="1" fillId="25" borderId="0" xfId="0" applyFont="1" applyFill="1"/>
    <xf numFmtId="0" fontId="1" fillId="6" borderId="0" xfId="0" applyFont="1" applyFill="1"/>
    <xf numFmtId="17" fontId="1" fillId="6" borderId="0" xfId="0" applyNumberFormat="1" applyFont="1" applyFill="1" applyAlignment="1">
      <alignment horizontal="left"/>
    </xf>
    <xf numFmtId="164" fontId="16" fillId="25" borderId="0" xfId="0" applyNumberFormat="1" applyFont="1" applyFill="1" applyAlignment="1">
      <alignment horizontal="right" wrapText="1" indent="2"/>
    </xf>
    <xf numFmtId="0" fontId="17" fillId="25" borderId="0" xfId="0" applyFont="1" applyFill="1"/>
    <xf numFmtId="0" fontId="0" fillId="0" borderId="41" xfId="0" applyBorder="1"/>
    <xf numFmtId="0" fontId="0" fillId="10" borderId="41" xfId="0" applyFill="1" applyBorder="1"/>
    <xf numFmtId="0" fontId="3" fillId="4" borderId="42" xfId="0" applyFont="1" applyFill="1" applyBorder="1" applyAlignment="1">
      <alignment horizontal="center"/>
    </xf>
    <xf numFmtId="14" fontId="0" fillId="23" borderId="0" xfId="0" applyNumberFormat="1" applyFill="1" applyAlignment="1">
      <alignment horizontal="center"/>
    </xf>
    <xf numFmtId="0" fontId="0" fillId="10" borderId="0" xfId="0" applyFill="1"/>
    <xf numFmtId="0" fontId="7" fillId="27" borderId="25" xfId="0" applyFont="1" applyFill="1" applyBorder="1" applyAlignment="1">
      <alignment horizontal="center"/>
    </xf>
    <xf numFmtId="0" fontId="7" fillId="27" borderId="24" xfId="0" applyFont="1" applyFill="1" applyBorder="1" applyAlignment="1">
      <alignment horizontal="center"/>
    </xf>
    <xf numFmtId="0" fontId="7" fillId="23" borderId="25" xfId="0" applyFont="1" applyFill="1" applyBorder="1" applyAlignment="1">
      <alignment horizontal="center"/>
    </xf>
    <xf numFmtId="14" fontId="7" fillId="27" borderId="25" xfId="0" applyNumberFormat="1" applyFont="1" applyFill="1" applyBorder="1" applyAlignment="1">
      <alignment horizontal="center"/>
    </xf>
    <xf numFmtId="14" fontId="7" fillId="27" borderId="24" xfId="0" applyNumberFormat="1" applyFont="1" applyFill="1" applyBorder="1" applyAlignment="1">
      <alignment horizontal="center"/>
    </xf>
    <xf numFmtId="14" fontId="7" fillId="23" borderId="25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" fillId="8" borderId="1" xfId="0" applyFont="1" applyFill="1" applyBorder="1"/>
    <xf numFmtId="17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right" wrapText="1" indent="2"/>
    </xf>
    <xf numFmtId="0" fontId="0" fillId="28" borderId="1" xfId="0" applyFill="1" applyBorder="1"/>
    <xf numFmtId="164" fontId="0" fillId="8" borderId="1" xfId="0" applyNumberFormat="1" applyFill="1" applyBorder="1" applyAlignment="1">
      <alignment horizontal="right" wrapText="1" indent="2"/>
    </xf>
    <xf numFmtId="0" fontId="1" fillId="3" borderId="1" xfId="0" applyFont="1" applyFill="1" applyBorder="1"/>
    <xf numFmtId="0" fontId="0" fillId="29" borderId="1" xfId="0" applyFill="1" applyBorder="1"/>
    <xf numFmtId="0" fontId="0" fillId="8" borderId="33" xfId="0" applyFill="1" applyBorder="1"/>
    <xf numFmtId="9" fontId="0" fillId="0" borderId="0" xfId="0" applyNumberFormat="1"/>
    <xf numFmtId="164" fontId="0" fillId="3" borderId="1" xfId="0" applyNumberFormat="1" applyFill="1" applyBorder="1" applyAlignment="1">
      <alignment horizontal="center" wrapText="1"/>
    </xf>
    <xf numFmtId="164" fontId="0" fillId="3" borderId="0" xfId="0" applyNumberFormat="1" applyFill="1" applyAlignment="1">
      <alignment horizontal="center" wrapText="1"/>
    </xf>
    <xf numFmtId="9" fontId="0" fillId="3" borderId="0" xfId="0" applyNumberFormat="1" applyFill="1" applyAlignment="1">
      <alignment horizontal="center"/>
    </xf>
    <xf numFmtId="49" fontId="12" fillId="24" borderId="0" xfId="0" applyNumberFormat="1" applyFont="1" applyFill="1" applyAlignment="1">
      <alignment horizontal="center"/>
    </xf>
    <xf numFmtId="49" fontId="0" fillId="23" borderId="24" xfId="0" applyNumberFormat="1" applyFill="1" applyBorder="1" applyAlignment="1">
      <alignment horizontal="center"/>
    </xf>
    <xf numFmtId="49" fontId="0" fillId="22" borderId="24" xfId="0" applyNumberFormat="1" applyFill="1" applyBorder="1" applyAlignment="1">
      <alignment horizontal="center"/>
    </xf>
    <xf numFmtId="49" fontId="7" fillId="23" borderId="24" xfId="0" applyNumberFormat="1" applyFont="1" applyFill="1" applyBorder="1" applyAlignment="1">
      <alignment horizontal="center"/>
    </xf>
    <xf numFmtId="49" fontId="7" fillId="27" borderId="25" xfId="0" applyNumberFormat="1" applyFont="1" applyFill="1" applyBorder="1" applyAlignment="1">
      <alignment horizontal="center"/>
    </xf>
    <xf numFmtId="49" fontId="7" fillId="27" borderId="24" xfId="0" applyNumberFormat="1" applyFont="1" applyFill="1" applyBorder="1" applyAlignment="1">
      <alignment horizontal="center"/>
    </xf>
    <xf numFmtId="49" fontId="7" fillId="22" borderId="24" xfId="0" applyNumberFormat="1" applyFont="1" applyFill="1" applyBorder="1" applyAlignment="1">
      <alignment horizontal="center"/>
    </xf>
    <xf numFmtId="49" fontId="7" fillId="22" borderId="26" xfId="0" applyNumberFormat="1" applyFont="1" applyFill="1" applyBorder="1" applyAlignment="1">
      <alignment horizontal="center"/>
    </xf>
    <xf numFmtId="49" fontId="7" fillId="23" borderId="25" xfId="0" applyNumberFormat="1" applyFont="1" applyFill="1" applyBorder="1" applyAlignment="1">
      <alignment horizontal="center"/>
    </xf>
    <xf numFmtId="49" fontId="0" fillId="0" borderId="0" xfId="0" applyNumberFormat="1" applyAlignment="1">
      <alignment horizontal="center"/>
    </xf>
    <xf numFmtId="0" fontId="1" fillId="7" borderId="0" xfId="0" applyFont="1" applyFill="1"/>
    <xf numFmtId="164" fontId="0" fillId="6" borderId="0" xfId="0" applyNumberFormat="1" applyFill="1" applyAlignment="1">
      <alignment horizontal="center" wrapText="1"/>
    </xf>
    <xf numFmtId="0" fontId="7" fillId="30" borderId="24" xfId="0" applyFont="1" applyFill="1" applyBorder="1" applyAlignment="1">
      <alignment horizontal="center"/>
    </xf>
    <xf numFmtId="0" fontId="7" fillId="30" borderId="43" xfId="0" applyFont="1" applyFill="1" applyBorder="1" applyAlignment="1">
      <alignment horizontal="center"/>
    </xf>
    <xf numFmtId="49" fontId="7" fillId="30" borderId="44" xfId="0" applyNumberFormat="1" applyFont="1" applyFill="1" applyBorder="1" applyAlignment="1">
      <alignment horizontal="center"/>
    </xf>
    <xf numFmtId="0" fontId="7" fillId="30" borderId="1" xfId="0" applyFont="1" applyFill="1" applyBorder="1" applyAlignment="1">
      <alignment horizontal="center"/>
    </xf>
    <xf numFmtId="49" fontId="7" fillId="30" borderId="1" xfId="0" applyNumberFormat="1" applyFont="1" applyFill="1" applyBorder="1" applyAlignment="1">
      <alignment horizontal="center"/>
    </xf>
    <xf numFmtId="0" fontId="7" fillId="22" borderId="45" xfId="0" applyFont="1" applyFill="1" applyBorder="1" applyAlignment="1">
      <alignment horizontal="center"/>
    </xf>
    <xf numFmtId="14" fontId="7" fillId="22" borderId="45" xfId="0" applyNumberFormat="1" applyFont="1" applyFill="1" applyBorder="1" applyAlignment="1">
      <alignment horizontal="center"/>
    </xf>
    <xf numFmtId="49" fontId="7" fillId="22" borderId="45" xfId="0" applyNumberFormat="1" applyFont="1" applyFill="1" applyBorder="1" applyAlignment="1">
      <alignment horizontal="center"/>
    </xf>
    <xf numFmtId="0" fontId="0" fillId="23" borderId="0" xfId="0" applyFill="1" applyAlignment="1">
      <alignment horizontal="center"/>
    </xf>
    <xf numFmtId="0" fontId="1" fillId="7" borderId="30" xfId="0" applyFont="1" applyFill="1" applyBorder="1"/>
    <xf numFmtId="0" fontId="0" fillId="7" borderId="28" xfId="0" applyFill="1" applyBorder="1"/>
    <xf numFmtId="0" fontId="0" fillId="7" borderId="37" xfId="0" applyFill="1" applyBorder="1" applyAlignment="1">
      <alignment horizontal="center"/>
    </xf>
    <xf numFmtId="0" fontId="0" fillId="7" borderId="33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34" xfId="0" applyFill="1" applyBorder="1"/>
    <xf numFmtId="0" fontId="0" fillId="7" borderId="36" xfId="0" applyFill="1" applyBorder="1" applyAlignment="1">
      <alignment horizontal="center"/>
    </xf>
    <xf numFmtId="16" fontId="0" fillId="8" borderId="29" xfId="0" applyNumberFormat="1" applyFill="1" applyBorder="1" applyAlignment="1">
      <alignment horizontal="center"/>
    </xf>
    <xf numFmtId="0" fontId="0" fillId="8" borderId="38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9" fontId="0" fillId="3" borderId="1" xfId="0" applyNumberFormat="1" applyFill="1" applyBorder="1" applyAlignment="1">
      <alignment horizontal="center"/>
    </xf>
    <xf numFmtId="0" fontId="19" fillId="32" borderId="25" xfId="0" applyFont="1" applyFill="1" applyBorder="1" applyAlignment="1">
      <alignment horizontal="center"/>
    </xf>
    <xf numFmtId="0" fontId="7" fillId="23" borderId="43" xfId="0" applyFont="1" applyFill="1" applyBorder="1" applyAlignment="1">
      <alignment horizontal="center"/>
    </xf>
    <xf numFmtId="14" fontId="0" fillId="23" borderId="1" xfId="0" applyNumberFormat="1" applyFill="1" applyBorder="1" applyAlignment="1">
      <alignment horizontal="center"/>
    </xf>
    <xf numFmtId="49" fontId="7" fillId="23" borderId="44" xfId="0" applyNumberFormat="1" applyFont="1" applyFill="1" applyBorder="1" applyAlignment="1">
      <alignment horizontal="center"/>
    </xf>
    <xf numFmtId="14" fontId="0" fillId="31" borderId="1" xfId="0" applyNumberFormat="1" applyFill="1" applyBorder="1" applyAlignment="1">
      <alignment horizontal="center"/>
    </xf>
    <xf numFmtId="14" fontId="0" fillId="31" borderId="1" xfId="0" applyNumberFormat="1" applyFill="1" applyBorder="1"/>
    <xf numFmtId="14" fontId="7" fillId="31" borderId="24" xfId="0" applyNumberFormat="1" applyFont="1" applyFill="1" applyBorder="1" applyAlignment="1">
      <alignment horizontal="center"/>
    </xf>
    <xf numFmtId="49" fontId="7" fillId="30" borderId="24" xfId="0" applyNumberFormat="1" applyFont="1" applyFill="1" applyBorder="1" applyAlignment="1">
      <alignment horizontal="center"/>
    </xf>
    <xf numFmtId="0" fontId="1" fillId="15" borderId="0" xfId="0" applyFont="1" applyFill="1"/>
    <xf numFmtId="0" fontId="0" fillId="15" borderId="0" xfId="0" applyFill="1"/>
    <xf numFmtId="0" fontId="0" fillId="15" borderId="1" xfId="0" applyFill="1" applyBorder="1"/>
    <xf numFmtId="0" fontId="1" fillId="15" borderId="1" xfId="0" applyFont="1" applyFill="1" applyBorder="1"/>
    <xf numFmtId="0" fontId="7" fillId="23" borderId="24" xfId="0" applyFont="1" applyFill="1" applyBorder="1" applyAlignment="1">
      <alignment horizontal="center" vertical="center"/>
    </xf>
    <xf numFmtId="49" fontId="7" fillId="23" borderId="24" xfId="0" applyNumberFormat="1" applyFont="1" applyFill="1" applyBorder="1" applyAlignment="1">
      <alignment horizontal="center" vertical="center" wrapText="1"/>
    </xf>
    <xf numFmtId="14" fontId="7" fillId="23" borderId="24" xfId="0" applyNumberFormat="1" applyFont="1" applyFill="1" applyBorder="1" applyAlignment="1">
      <alignment horizontal="center" vertical="center"/>
    </xf>
    <xf numFmtId="14" fontId="7" fillId="30" borderId="1" xfId="0" applyNumberFormat="1" applyFont="1" applyFill="1" applyBorder="1" applyAlignment="1">
      <alignment horizontal="center"/>
    </xf>
    <xf numFmtId="0" fontId="7" fillId="30" borderId="25" xfId="0" applyFont="1" applyFill="1" applyBorder="1" applyAlignment="1">
      <alignment horizontal="center"/>
    </xf>
    <xf numFmtId="14" fontId="7" fillId="31" borderId="25" xfId="0" applyNumberFormat="1" applyFont="1" applyFill="1" applyBorder="1" applyAlignment="1">
      <alignment horizontal="center"/>
    </xf>
    <xf numFmtId="49" fontId="7" fillId="30" borderId="25" xfId="0" applyNumberFormat="1" applyFont="1" applyFill="1" applyBorder="1" applyAlignment="1">
      <alignment horizontal="center"/>
    </xf>
    <xf numFmtId="14" fontId="0" fillId="31" borderId="1" xfId="0" applyNumberFormat="1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49" fontId="0" fillId="31" borderId="1" xfId="0" applyNumberFormat="1" applyFill="1" applyBorder="1" applyAlignment="1">
      <alignment horizontal="center" vertical="center"/>
    </xf>
    <xf numFmtId="0" fontId="7" fillId="30" borderId="45" xfId="0" applyFont="1" applyFill="1" applyBorder="1" applyAlignment="1">
      <alignment horizontal="center"/>
    </xf>
    <xf numFmtId="49" fontId="7" fillId="30" borderId="45" xfId="0" applyNumberFormat="1" applyFont="1" applyFill="1" applyBorder="1" applyAlignment="1">
      <alignment horizontal="center"/>
    </xf>
    <xf numFmtId="14" fontId="0" fillId="31" borderId="10" xfId="0" applyNumberFormat="1" applyFill="1" applyBorder="1" applyAlignment="1">
      <alignment horizontal="center" vertical="center"/>
    </xf>
    <xf numFmtId="0" fontId="7" fillId="23" borderId="46" xfId="0" applyFont="1" applyFill="1" applyBorder="1" applyAlignment="1">
      <alignment horizontal="center"/>
    </xf>
    <xf numFmtId="14" fontId="7" fillId="23" borderId="47" xfId="0" applyNumberFormat="1" applyFont="1" applyFill="1" applyBorder="1" applyAlignment="1">
      <alignment horizontal="center"/>
    </xf>
    <xf numFmtId="14" fontId="7" fillId="23" borderId="44" xfId="0" applyNumberFormat="1" applyFont="1" applyFill="1" applyBorder="1" applyAlignment="1">
      <alignment horizontal="center"/>
    </xf>
    <xf numFmtId="0" fontId="7" fillId="23" borderId="26" xfId="0" applyFont="1" applyFill="1" applyBorder="1" applyAlignment="1">
      <alignment horizontal="center"/>
    </xf>
    <xf numFmtId="0" fontId="7" fillId="23" borderId="1" xfId="0" applyFont="1" applyFill="1" applyBorder="1" applyAlignment="1">
      <alignment horizontal="center"/>
    </xf>
    <xf numFmtId="0" fontId="7" fillId="23" borderId="47" xfId="0" applyFont="1" applyFill="1" applyBorder="1" applyAlignment="1">
      <alignment horizontal="center"/>
    </xf>
    <xf numFmtId="0" fontId="3" fillId="4" borderId="48" xfId="0" applyFont="1" applyFill="1" applyBorder="1" applyAlignment="1">
      <alignment horizontal="center"/>
    </xf>
    <xf numFmtId="0" fontId="3" fillId="4" borderId="49" xfId="0" applyFont="1" applyFill="1" applyBorder="1" applyAlignment="1">
      <alignment horizontal="center"/>
    </xf>
    <xf numFmtId="0" fontId="3" fillId="4" borderId="50" xfId="0" applyFont="1" applyFill="1" applyBorder="1" applyAlignment="1">
      <alignment horizontal="center"/>
    </xf>
    <xf numFmtId="0" fontId="3" fillId="5" borderId="50" xfId="0" applyFont="1" applyFill="1" applyBorder="1" applyAlignment="1">
      <alignment horizontal="center"/>
    </xf>
    <xf numFmtId="0" fontId="3" fillId="5" borderId="48" xfId="0" applyFont="1" applyFill="1" applyBorder="1" applyAlignment="1">
      <alignment horizontal="center"/>
    </xf>
    <xf numFmtId="17" fontId="3" fillId="5" borderId="50" xfId="0" applyNumberFormat="1" applyFont="1" applyFill="1" applyBorder="1"/>
    <xf numFmtId="17" fontId="3" fillId="5" borderId="51" xfId="0" applyNumberFormat="1" applyFont="1" applyFill="1" applyBorder="1"/>
    <xf numFmtId="17" fontId="3" fillId="5" borderId="44" xfId="0" applyNumberFormat="1" applyFont="1" applyFill="1" applyBorder="1"/>
    <xf numFmtId="0" fontId="3" fillId="5" borderId="52" xfId="0" applyFont="1" applyFill="1" applyBorder="1" applyAlignment="1">
      <alignment horizontal="center"/>
    </xf>
    <xf numFmtId="0" fontId="0" fillId="23" borderId="25" xfId="0" applyFill="1" applyBorder="1" applyAlignment="1">
      <alignment horizontal="center"/>
    </xf>
    <xf numFmtId="0" fontId="0" fillId="23" borderId="55" xfId="0" applyFill="1" applyBorder="1" applyAlignment="1">
      <alignment horizontal="center"/>
    </xf>
    <xf numFmtId="0" fontId="0" fillId="23" borderId="46" xfId="0" applyFill="1" applyBorder="1" applyAlignment="1">
      <alignment horizontal="center"/>
    </xf>
    <xf numFmtId="14" fontId="0" fillId="23" borderId="25" xfId="0" applyNumberFormat="1" applyFill="1" applyBorder="1" applyAlignment="1">
      <alignment horizontal="center"/>
    </xf>
    <xf numFmtId="0" fontId="0" fillId="23" borderId="47" xfId="0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49" fontId="0" fillId="30" borderId="1" xfId="0" applyNumberFormat="1" applyFill="1" applyBorder="1" applyAlignment="1">
      <alignment horizontal="center"/>
    </xf>
    <xf numFmtId="14" fontId="7" fillId="22" borderId="25" xfId="0" applyNumberFormat="1" applyFont="1" applyFill="1" applyBorder="1" applyAlignment="1">
      <alignment horizontal="center"/>
    </xf>
    <xf numFmtId="49" fontId="7" fillId="22" borderId="25" xfId="0" applyNumberFormat="1" applyFont="1" applyFill="1" applyBorder="1" applyAlignment="1">
      <alignment horizontal="center"/>
    </xf>
    <xf numFmtId="14" fontId="7" fillId="30" borderId="25" xfId="0" applyNumberFormat="1" applyFont="1" applyFill="1" applyBorder="1" applyAlignment="1">
      <alignment horizontal="center"/>
    </xf>
    <xf numFmtId="0" fontId="1" fillId="33" borderId="0" xfId="0" applyFont="1" applyFill="1"/>
    <xf numFmtId="17" fontId="0" fillId="33" borderId="0" xfId="0" applyNumberFormat="1" applyFill="1" applyAlignment="1">
      <alignment horizontal="center"/>
    </xf>
    <xf numFmtId="0" fontId="0" fillId="33" borderId="0" xfId="0" applyFill="1" applyAlignment="1">
      <alignment horizontal="left"/>
    </xf>
    <xf numFmtId="164" fontId="0" fillId="33" borderId="0" xfId="0" applyNumberFormat="1" applyFill="1" applyAlignment="1">
      <alignment horizontal="right" wrapText="1" indent="2"/>
    </xf>
    <xf numFmtId="9" fontId="0" fillId="33" borderId="0" xfId="0" applyNumberFormat="1" applyFill="1" applyAlignment="1">
      <alignment horizontal="center"/>
    </xf>
    <xf numFmtId="0" fontId="0" fillId="33" borderId="0" xfId="0" applyFill="1" applyAlignment="1">
      <alignment horizontal="center"/>
    </xf>
    <xf numFmtId="0" fontId="0" fillId="34" borderId="40" xfId="0" applyFill="1" applyBorder="1" applyAlignment="1">
      <alignment horizontal="center"/>
    </xf>
    <xf numFmtId="0" fontId="0" fillId="33" borderId="0" xfId="0" applyFill="1"/>
    <xf numFmtId="10" fontId="0" fillId="0" borderId="41" xfId="0" applyNumberFormat="1" applyBorder="1"/>
    <xf numFmtId="0" fontId="7" fillId="35" borderId="24" xfId="0" applyFont="1" applyFill="1" applyBorder="1" applyAlignment="1">
      <alignment horizontal="center"/>
    </xf>
    <xf numFmtId="14" fontId="7" fillId="35" borderId="24" xfId="0" applyNumberFormat="1" applyFont="1" applyFill="1" applyBorder="1" applyAlignment="1">
      <alignment horizontal="center"/>
    </xf>
    <xf numFmtId="49" fontId="7" fillId="35" borderId="24" xfId="0" applyNumberFormat="1" applyFont="1" applyFill="1" applyBorder="1" applyAlignment="1">
      <alignment horizontal="center"/>
    </xf>
    <xf numFmtId="14" fontId="7" fillId="30" borderId="24" xfId="0" applyNumberFormat="1" applyFont="1" applyFill="1" applyBorder="1" applyAlignment="1">
      <alignment horizontal="center"/>
    </xf>
    <xf numFmtId="14" fontId="0" fillId="0" borderId="0" xfId="0" applyNumberFormat="1" applyAlignment="1">
      <alignment horizontal="left"/>
    </xf>
    <xf numFmtId="14" fontId="0" fillId="8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14" fontId="0" fillId="8" borderId="37" xfId="0" applyNumberFormat="1" applyFill="1" applyBorder="1" applyAlignment="1">
      <alignment horizontal="center"/>
    </xf>
    <xf numFmtId="14" fontId="0" fillId="3" borderId="0" xfId="0" applyNumberFormat="1" applyFill="1" applyAlignment="1">
      <alignment horizontal="center"/>
    </xf>
    <xf numFmtId="0" fontId="0" fillId="9" borderId="0" xfId="0" applyFill="1"/>
    <xf numFmtId="0" fontId="1" fillId="36" borderId="30" xfId="0" applyFont="1" applyFill="1" applyBorder="1"/>
    <xf numFmtId="17" fontId="0" fillId="37" borderId="0" xfId="0" applyNumberFormat="1" applyFill="1" applyAlignment="1">
      <alignment horizontal="center"/>
    </xf>
    <xf numFmtId="14" fontId="0" fillId="36" borderId="29" xfId="0" applyNumberFormat="1" applyFill="1" applyBorder="1" applyAlignment="1">
      <alignment horizontal="center"/>
    </xf>
    <xf numFmtId="14" fontId="0" fillId="36" borderId="0" xfId="0" applyNumberFormat="1" applyFill="1" applyAlignment="1">
      <alignment horizontal="center"/>
    </xf>
    <xf numFmtId="1" fontId="0" fillId="36" borderId="0" xfId="0" applyNumberFormat="1" applyFill="1" applyAlignment="1">
      <alignment horizontal="center"/>
    </xf>
    <xf numFmtId="0" fontId="0" fillId="36" borderId="28" xfId="0" applyFill="1" applyBorder="1"/>
    <xf numFmtId="164" fontId="0" fillId="37" borderId="0" xfId="0" applyNumberFormat="1" applyFill="1" applyAlignment="1">
      <alignment horizontal="right" wrapText="1" indent="2"/>
    </xf>
    <xf numFmtId="0" fontId="0" fillId="36" borderId="38" xfId="0" applyFill="1" applyBorder="1" applyAlignment="1">
      <alignment horizontal="center"/>
    </xf>
    <xf numFmtId="0" fontId="0" fillId="36" borderId="40" xfId="0" applyFill="1" applyBorder="1" applyAlignment="1">
      <alignment horizontal="center"/>
    </xf>
    <xf numFmtId="0" fontId="0" fillId="36" borderId="0" xfId="0" applyFill="1" applyAlignment="1">
      <alignment horizontal="center"/>
    </xf>
    <xf numFmtId="0" fontId="0" fillId="37" borderId="0" xfId="0" applyFill="1"/>
    <xf numFmtId="14" fontId="0" fillId="36" borderId="31" xfId="0" applyNumberFormat="1" applyFill="1" applyBorder="1" applyAlignment="1">
      <alignment horizontal="center"/>
    </xf>
    <xf numFmtId="14" fontId="0" fillId="36" borderId="34" xfId="0" applyNumberFormat="1" applyFill="1" applyBorder="1" applyAlignment="1">
      <alignment horizontal="center"/>
    </xf>
    <xf numFmtId="1" fontId="0" fillId="36" borderId="34" xfId="0" applyNumberFormat="1" applyFill="1" applyBorder="1" applyAlignment="1">
      <alignment horizontal="center"/>
    </xf>
    <xf numFmtId="0" fontId="0" fillId="36" borderId="35" xfId="0" applyFill="1" applyBorder="1"/>
    <xf numFmtId="164" fontId="0" fillId="37" borderId="0" xfId="0" applyNumberFormat="1" applyFill="1" applyAlignment="1">
      <alignment horizontal="center" wrapText="1"/>
    </xf>
    <xf numFmtId="0" fontId="1" fillId="37" borderId="0" xfId="0" applyFont="1" applyFill="1"/>
    <xf numFmtId="14" fontId="0" fillId="37" borderId="0" xfId="0" applyNumberFormat="1" applyFill="1" applyAlignment="1">
      <alignment horizontal="center"/>
    </xf>
    <xf numFmtId="0" fontId="0" fillId="37" borderId="0" xfId="0" applyFill="1" applyAlignment="1">
      <alignment horizontal="left"/>
    </xf>
    <xf numFmtId="0" fontId="0" fillId="37" borderId="0" xfId="0" applyFill="1" applyAlignment="1">
      <alignment horizontal="center"/>
    </xf>
    <xf numFmtId="14" fontId="0" fillId="36" borderId="28" xfId="0" applyNumberFormat="1" applyFill="1" applyBorder="1" applyAlignment="1">
      <alignment horizontal="center"/>
    </xf>
    <xf numFmtId="0" fontId="0" fillId="36" borderId="33" xfId="0" applyFill="1" applyBorder="1"/>
    <xf numFmtId="164" fontId="0" fillId="36" borderId="0" xfId="0" applyNumberFormat="1" applyFill="1" applyAlignment="1">
      <alignment horizontal="right" wrapText="1" indent="2"/>
    </xf>
    <xf numFmtId="0" fontId="0" fillId="36" borderId="32" xfId="0" applyFill="1" applyBorder="1" applyAlignment="1">
      <alignment horizontal="center"/>
    </xf>
    <xf numFmtId="17" fontId="1" fillId="36" borderId="0" xfId="0" applyNumberFormat="1" applyFont="1" applyFill="1" applyAlignment="1">
      <alignment horizontal="left"/>
    </xf>
    <xf numFmtId="17" fontId="0" fillId="36" borderId="0" xfId="0" applyNumberFormat="1" applyFill="1" applyAlignment="1">
      <alignment horizontal="center"/>
    </xf>
    <xf numFmtId="17" fontId="0" fillId="36" borderId="0" xfId="0" applyNumberFormat="1" applyFill="1" applyAlignment="1">
      <alignment horizontal="left"/>
    </xf>
    <xf numFmtId="165" fontId="0" fillId="36" borderId="0" xfId="0" applyNumberFormat="1" applyFill="1" applyAlignment="1">
      <alignment horizontal="right"/>
    </xf>
    <xf numFmtId="0" fontId="18" fillId="36" borderId="0" xfId="0" applyFont="1" applyFill="1"/>
    <xf numFmtId="0" fontId="0" fillId="36" borderId="0" xfId="0" applyFill="1" applyAlignment="1">
      <alignment horizontal="left"/>
    </xf>
    <xf numFmtId="0" fontId="1" fillId="36" borderId="0" xfId="0" applyFont="1" applyFill="1"/>
    <xf numFmtId="0" fontId="0" fillId="36" borderId="36" xfId="0" applyFill="1" applyBorder="1"/>
    <xf numFmtId="9" fontId="0" fillId="37" borderId="0" xfId="0" applyNumberFormat="1" applyFill="1" applyAlignment="1">
      <alignment horizontal="center"/>
    </xf>
    <xf numFmtId="0" fontId="0" fillId="36" borderId="28" xfId="0" applyFill="1" applyBorder="1" applyAlignment="1">
      <alignment horizontal="center"/>
    </xf>
    <xf numFmtId="0" fontId="1" fillId="23" borderId="1" xfId="0" applyFont="1" applyFill="1" applyBorder="1"/>
    <xf numFmtId="0" fontId="0" fillId="23" borderId="1" xfId="0" applyFill="1" applyBorder="1"/>
    <xf numFmtId="0" fontId="0" fillId="37" borderId="1" xfId="0" applyFill="1" applyBorder="1"/>
    <xf numFmtId="0" fontId="0" fillId="6" borderId="1" xfId="0" applyFill="1" applyBorder="1"/>
    <xf numFmtId="0" fontId="0" fillId="38" borderId="1" xfId="0" applyFill="1" applyBorder="1"/>
    <xf numFmtId="0" fontId="1" fillId="37" borderId="1" xfId="0" applyFont="1" applyFill="1" applyBorder="1"/>
    <xf numFmtId="0" fontId="1" fillId="6" borderId="1" xfId="0" applyFont="1" applyFill="1" applyBorder="1"/>
    <xf numFmtId="0" fontId="1" fillId="38" borderId="1" xfId="0" applyFont="1" applyFill="1" applyBorder="1"/>
    <xf numFmtId="0" fontId="1" fillId="39" borderId="1" xfId="0" applyFont="1" applyFill="1" applyBorder="1" applyAlignment="1">
      <alignment horizontal="left"/>
    </xf>
    <xf numFmtId="1" fontId="0" fillId="0" borderId="1" xfId="0" applyNumberFormat="1" applyBorder="1" applyAlignment="1">
      <alignment horizontal="center"/>
    </xf>
    <xf numFmtId="164" fontId="1" fillId="16" borderId="1" xfId="0" applyNumberFormat="1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20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35" borderId="25" xfId="0" applyFont="1" applyFill="1" applyBorder="1" applyAlignment="1">
      <alignment horizontal="center"/>
    </xf>
    <xf numFmtId="0" fontId="10" fillId="30" borderId="24" xfId="0" applyFont="1" applyFill="1" applyBorder="1" applyAlignment="1">
      <alignment horizontal="center"/>
    </xf>
    <xf numFmtId="14" fontId="0" fillId="36" borderId="37" xfId="0" applyNumberFormat="1" applyFill="1" applyBorder="1" applyAlignment="1">
      <alignment horizontal="center"/>
    </xf>
    <xf numFmtId="0" fontId="1" fillId="34" borderId="37" xfId="0" applyFont="1" applyFill="1" applyBorder="1"/>
    <xf numFmtId="14" fontId="0" fillId="34" borderId="37" xfId="0" applyNumberFormat="1" applyFill="1" applyBorder="1" applyAlignment="1">
      <alignment horizontal="center"/>
    </xf>
    <xf numFmtId="1" fontId="0" fillId="34" borderId="37" xfId="0" applyNumberFormat="1" applyFill="1" applyBorder="1" applyAlignment="1">
      <alignment horizontal="center"/>
    </xf>
    <xf numFmtId="0" fontId="0" fillId="34" borderId="28" xfId="0" applyFill="1" applyBorder="1"/>
    <xf numFmtId="164" fontId="0" fillId="33" borderId="0" xfId="0" applyNumberFormat="1" applyFill="1" applyAlignment="1">
      <alignment horizontal="center" wrapText="1"/>
    </xf>
    <xf numFmtId="0" fontId="1" fillId="34" borderId="0" xfId="0" applyFont="1" applyFill="1"/>
    <xf numFmtId="14" fontId="0" fillId="33" borderId="0" xfId="0" applyNumberFormat="1" applyFill="1" applyAlignment="1">
      <alignment horizontal="center"/>
    </xf>
    <xf numFmtId="14" fontId="0" fillId="34" borderId="0" xfId="0" applyNumberFormat="1" applyFill="1" applyAlignment="1">
      <alignment horizontal="center"/>
    </xf>
    <xf numFmtId="1" fontId="0" fillId="34" borderId="0" xfId="0" applyNumberFormat="1" applyFill="1" applyAlignment="1">
      <alignment horizontal="center"/>
    </xf>
    <xf numFmtId="0" fontId="0" fillId="34" borderId="0" xfId="0" applyFill="1"/>
    <xf numFmtId="0" fontId="0" fillId="34" borderId="37" xfId="0" applyFill="1" applyBorder="1" applyAlignment="1">
      <alignment horizontal="center"/>
    </xf>
    <xf numFmtId="0" fontId="20" fillId="6" borderId="1" xfId="0" applyFont="1" applyFill="1" applyBorder="1"/>
    <xf numFmtId="0" fontId="0" fillId="34" borderId="0" xfId="0" applyFill="1" applyAlignment="1">
      <alignment horizontal="left"/>
    </xf>
    <xf numFmtId="164" fontId="0" fillId="34" borderId="0" xfId="0" applyNumberFormat="1" applyFill="1" applyAlignment="1">
      <alignment horizontal="right" wrapText="1" indent="2"/>
    </xf>
    <xf numFmtId="0" fontId="10" fillId="30" borderId="43" xfId="0" applyFont="1" applyFill="1" applyBorder="1" applyAlignment="1">
      <alignment horizontal="center"/>
    </xf>
    <xf numFmtId="49" fontId="10" fillId="30" borderId="44" xfId="0" applyNumberFormat="1" applyFont="1" applyFill="1" applyBorder="1" applyAlignment="1">
      <alignment horizontal="center"/>
    </xf>
    <xf numFmtId="14" fontId="10" fillId="30" borderId="1" xfId="0" applyNumberFormat="1" applyFont="1" applyFill="1" applyBorder="1" applyAlignment="1">
      <alignment horizontal="center"/>
    </xf>
    <xf numFmtId="2" fontId="0" fillId="8" borderId="0" xfId="0" applyNumberFormat="1" applyFill="1" applyAlignment="1">
      <alignment horizontal="center"/>
    </xf>
    <xf numFmtId="9" fontId="0" fillId="8" borderId="0" xfId="1" applyFont="1" applyFill="1" applyAlignment="1">
      <alignment horizontal="center" wrapText="1"/>
    </xf>
    <xf numFmtId="0" fontId="0" fillId="8" borderId="34" xfId="0" applyFill="1" applyBorder="1" applyAlignment="1">
      <alignment horizontal="center"/>
    </xf>
    <xf numFmtId="14" fontId="22" fillId="40" borderId="56" xfId="0" applyNumberFormat="1" applyFont="1" applyFill="1" applyBorder="1" applyAlignment="1">
      <alignment horizontal="center"/>
    </xf>
    <xf numFmtId="14" fontId="0" fillId="6" borderId="0" xfId="0" applyNumberFormat="1" applyFill="1" applyAlignment="1">
      <alignment horizontal="center"/>
    </xf>
    <xf numFmtId="14" fontId="0" fillId="7" borderId="28" xfId="0" applyNumberFormat="1" applyFill="1" applyBorder="1" applyAlignment="1">
      <alignment horizontal="center"/>
    </xf>
    <xf numFmtId="14" fontId="0" fillId="7" borderId="34" xfId="0" applyNumberFormat="1" applyFill="1" applyBorder="1" applyAlignment="1">
      <alignment horizontal="center"/>
    </xf>
    <xf numFmtId="14" fontId="0" fillId="7" borderId="0" xfId="0" applyNumberFormat="1" applyFill="1" applyAlignment="1">
      <alignment horizontal="center"/>
    </xf>
    <xf numFmtId="14" fontId="7" fillId="27" borderId="0" xfId="0" applyNumberFormat="1" applyFont="1" applyFill="1" applyAlignment="1">
      <alignment horizontal="center"/>
    </xf>
    <xf numFmtId="0" fontId="7" fillId="31" borderId="24" xfId="0" applyFont="1" applyFill="1" applyBorder="1" applyAlignment="1">
      <alignment horizontal="center"/>
    </xf>
    <xf numFmtId="0" fontId="7" fillId="31" borderId="25" xfId="0" applyFont="1" applyFill="1" applyBorder="1" applyAlignment="1">
      <alignment horizontal="center"/>
    </xf>
    <xf numFmtId="49" fontId="7" fillId="31" borderId="24" xfId="0" applyNumberFormat="1" applyFont="1" applyFill="1" applyBorder="1" applyAlignment="1">
      <alignment horizontal="center"/>
    </xf>
    <xf numFmtId="167" fontId="0" fillId="8" borderId="0" xfId="0" applyNumberFormat="1" applyFill="1" applyAlignment="1">
      <alignment horizontal="center"/>
    </xf>
    <xf numFmtId="49" fontId="7" fillId="31" borderId="25" xfId="0" applyNumberFormat="1" applyFont="1" applyFill="1" applyBorder="1" applyAlignment="1">
      <alignment horizontal="center"/>
    </xf>
    <xf numFmtId="0" fontId="7" fillId="41" borderId="24" xfId="0" applyFont="1" applyFill="1" applyBorder="1" applyAlignment="1">
      <alignment horizontal="center"/>
    </xf>
    <xf numFmtId="0" fontId="7" fillId="41" borderId="25" xfId="0" applyFont="1" applyFill="1" applyBorder="1" applyAlignment="1">
      <alignment horizontal="center"/>
    </xf>
    <xf numFmtId="17" fontId="0" fillId="8" borderId="0" xfId="0" applyNumberFormat="1" applyFill="1" applyAlignment="1">
      <alignment horizontal="left"/>
    </xf>
    <xf numFmtId="0" fontId="10" fillId="31" borderId="24" xfId="0" applyFont="1" applyFill="1" applyBorder="1" applyAlignment="1">
      <alignment horizontal="center"/>
    </xf>
    <xf numFmtId="0" fontId="0" fillId="23" borderId="0" xfId="0" applyFill="1"/>
    <xf numFmtId="14" fontId="10" fillId="31" borderId="24" xfId="0" applyNumberFormat="1" applyFont="1" applyFill="1" applyBorder="1" applyAlignment="1">
      <alignment horizontal="center"/>
    </xf>
    <xf numFmtId="49" fontId="10" fillId="31" borderId="24" xfId="0" applyNumberFormat="1" applyFont="1" applyFill="1" applyBorder="1" applyAlignment="1">
      <alignment horizontal="center"/>
    </xf>
    <xf numFmtId="0" fontId="3" fillId="42" borderId="1" xfId="0" applyFont="1" applyFill="1" applyBorder="1" applyAlignment="1">
      <alignment horizontal="center"/>
    </xf>
    <xf numFmtId="0" fontId="0" fillId="23" borderId="24" xfId="0" applyFill="1" applyBorder="1" applyAlignment="1">
      <alignment horizontal="center"/>
    </xf>
    <xf numFmtId="164" fontId="0" fillId="0" borderId="0" xfId="0" applyNumberFormat="1"/>
    <xf numFmtId="14" fontId="11" fillId="24" borderId="0" xfId="0" applyNumberFormat="1" applyFont="1" applyFill="1" applyAlignment="1">
      <alignment horizontal="center"/>
    </xf>
    <xf numFmtId="14" fontId="19" fillId="32" borderId="25" xfId="0" applyNumberFormat="1" applyFont="1" applyFill="1" applyBorder="1" applyAlignment="1">
      <alignment horizontal="center"/>
    </xf>
    <xf numFmtId="14" fontId="7" fillId="35" borderId="25" xfId="0" applyNumberFormat="1" applyFont="1" applyFill="1" applyBorder="1" applyAlignment="1">
      <alignment horizontal="center"/>
    </xf>
    <xf numFmtId="14" fontId="7" fillId="35" borderId="45" xfId="0" applyNumberFormat="1" applyFont="1" applyFill="1" applyBorder="1" applyAlignment="1">
      <alignment horizontal="center"/>
    </xf>
    <xf numFmtId="14" fontId="7" fillId="41" borderId="24" xfId="0" applyNumberFormat="1" applyFont="1" applyFill="1" applyBorder="1" applyAlignment="1">
      <alignment horizontal="center"/>
    </xf>
    <xf numFmtId="14" fontId="7" fillId="41" borderId="25" xfId="0" applyNumberFormat="1" applyFont="1" applyFill="1" applyBorder="1" applyAlignment="1">
      <alignment horizontal="center"/>
    </xf>
    <xf numFmtId="14" fontId="7" fillId="31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center"/>
    </xf>
    <xf numFmtId="168" fontId="7" fillId="30" borderId="24" xfId="0" applyNumberFormat="1" applyFont="1" applyFill="1" applyBorder="1" applyAlignment="1">
      <alignment horizontal="center"/>
    </xf>
    <xf numFmtId="0" fontId="23" fillId="30" borderId="24" xfId="0" applyFont="1" applyFill="1" applyBorder="1" applyAlignment="1">
      <alignment horizontal="center"/>
    </xf>
    <xf numFmtId="14" fontId="23" fillId="30" borderId="24" xfId="0" applyNumberFormat="1" applyFont="1" applyFill="1" applyBorder="1" applyAlignment="1">
      <alignment horizontal="center"/>
    </xf>
    <xf numFmtId="49" fontId="23" fillId="30" borderId="24" xfId="0" applyNumberFormat="1" applyFont="1" applyFill="1" applyBorder="1" applyAlignment="1">
      <alignment horizontal="center"/>
    </xf>
    <xf numFmtId="168" fontId="7" fillId="23" borderId="24" xfId="0" applyNumberFormat="1" applyFont="1" applyFill="1" applyBorder="1" applyAlignment="1">
      <alignment horizontal="center"/>
    </xf>
    <xf numFmtId="0" fontId="7" fillId="20" borderId="24" xfId="0" applyFont="1" applyFill="1" applyBorder="1" applyAlignment="1">
      <alignment horizontal="center"/>
    </xf>
    <xf numFmtId="14" fontId="7" fillId="20" borderId="24" xfId="0" applyNumberFormat="1" applyFont="1" applyFill="1" applyBorder="1" applyAlignment="1">
      <alignment horizontal="center"/>
    </xf>
    <xf numFmtId="49" fontId="7" fillId="20" borderId="24" xfId="0" applyNumberFormat="1" applyFont="1" applyFill="1" applyBorder="1" applyAlignment="1">
      <alignment horizontal="center"/>
    </xf>
    <xf numFmtId="0" fontId="0" fillId="43" borderId="0" xfId="0" applyFill="1" applyAlignment="1">
      <alignment horizontal="center"/>
    </xf>
    <xf numFmtId="0" fontId="0" fillId="31" borderId="0" xfId="0" applyFill="1" applyAlignment="1">
      <alignment horizontal="center"/>
    </xf>
    <xf numFmtId="14" fontId="0" fillId="31" borderId="0" xfId="0" applyNumberFormat="1" applyFill="1" applyAlignment="1">
      <alignment horizontal="center"/>
    </xf>
    <xf numFmtId="0" fontId="0" fillId="28" borderId="4" xfId="0" applyFill="1" applyBorder="1"/>
    <xf numFmtId="0" fontId="0" fillId="0" borderId="4" xfId="0" applyBorder="1"/>
    <xf numFmtId="0" fontId="0" fillId="29" borderId="4" xfId="0" applyFill="1" applyBorder="1"/>
    <xf numFmtId="0" fontId="0" fillId="10" borderId="4" xfId="0" applyFill="1" applyBorder="1"/>
    <xf numFmtId="0" fontId="3" fillId="4" borderId="10" xfId="0" applyFont="1" applyFill="1" applyBorder="1" applyAlignment="1">
      <alignment horizontal="center"/>
    </xf>
    <xf numFmtId="49" fontId="0" fillId="23" borderId="0" xfId="0" applyNumberFormat="1" applyFill="1" applyAlignment="1">
      <alignment horizontal="center"/>
    </xf>
    <xf numFmtId="49" fontId="0" fillId="31" borderId="0" xfId="0" applyNumberFormat="1" applyFill="1" applyAlignment="1">
      <alignment horizontal="center"/>
    </xf>
    <xf numFmtId="168" fontId="0" fillId="23" borderId="0" xfId="0" quotePrefix="1" applyNumberFormat="1" applyFill="1" applyAlignment="1">
      <alignment horizontal="center"/>
    </xf>
    <xf numFmtId="169" fontId="0" fillId="23" borderId="0" xfId="0" applyNumberFormat="1" applyFill="1" applyAlignment="1">
      <alignment horizontal="center"/>
    </xf>
    <xf numFmtId="169" fontId="0" fillId="31" borderId="0" xfId="0" applyNumberFormat="1" applyFill="1" applyAlignment="1">
      <alignment horizontal="center"/>
    </xf>
    <xf numFmtId="0" fontId="22" fillId="23" borderId="0" xfId="0" applyFont="1" applyFill="1" applyAlignment="1">
      <alignment horizontal="center"/>
    </xf>
    <xf numFmtId="0" fontId="0" fillId="14" borderId="12" xfId="0" applyFill="1" applyBorder="1" applyAlignment="1">
      <alignment horizontal="center"/>
    </xf>
    <xf numFmtId="0" fontId="6" fillId="9" borderId="1" xfId="0" applyFont="1" applyFill="1" applyBorder="1" applyAlignment="1">
      <alignment horizontal="center"/>
    </xf>
    <xf numFmtId="0" fontId="0" fillId="14" borderId="13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0" fontId="0" fillId="14" borderId="15" xfId="0" applyFill="1" applyBorder="1" applyAlignment="1">
      <alignment horizontal="center"/>
    </xf>
    <xf numFmtId="0" fontId="0" fillId="14" borderId="0" xfId="0" applyFill="1" applyAlignment="1">
      <alignment horizontal="center"/>
    </xf>
    <xf numFmtId="0" fontId="0" fillId="14" borderId="16" xfId="0" applyFill="1" applyBorder="1" applyAlignment="1">
      <alignment horizontal="center"/>
    </xf>
    <xf numFmtId="0" fontId="0" fillId="14" borderId="17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18" xfId="0" applyFill="1" applyBorder="1" applyAlignment="1">
      <alignment horizontal="center"/>
    </xf>
    <xf numFmtId="0" fontId="6" fillId="9" borderId="53" xfId="0" applyFont="1" applyFill="1" applyBorder="1" applyAlignment="1">
      <alignment horizontal="center"/>
    </xf>
    <xf numFmtId="0" fontId="6" fillId="9" borderId="54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1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dd/mm/yyyy"/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rgb="FFD9D9D9"/>
          <bgColor rgb="FFD9D9D9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scheme val="none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A5A5A5"/>
          <bgColor rgb="FFA5A5A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A5A5A5"/>
          <bgColor rgb="FFA5A5A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A5A5A5"/>
          <bgColor rgb="FFA5A5A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\ &quot;€&quot;;[Red]\-#,##0\ &quot;€&quot;"/>
      <fill>
        <patternFill patternType="solid">
          <fgColor rgb="FFD9D9D9"/>
          <bgColor rgb="FFD9D9D9"/>
        </patternFill>
      </fill>
      <border diagonalUp="0" diagonalDown="0" outline="0">
        <left style="thin">
          <color rgb="FFFFFFFF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\ &quot;€&quot;;[Red]\-#,##0\ &quot;€&quot;"/>
      <fill>
        <patternFill patternType="solid">
          <fgColor theme="0" tint="-0.14999847407452621"/>
          <bgColor theme="5" tint="0.59999389629810485"/>
        </patternFill>
      </fill>
      <alignment horizontal="right" vertical="bottom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\ &quot;€&quot;;[Red]\-#,##0\ &quot;€&quot;"/>
      <fill>
        <patternFill patternType="solid">
          <fgColor rgb="FFD9D9D9"/>
          <bgColor rgb="FFD9D9D9"/>
        </patternFill>
      </fill>
      <border diagonalUp="0" diagonalDown="0" outline="0">
        <left style="thin">
          <color rgb="FFFFFFFF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\ &quot;€&quot;;[Red]\-#,##0\ &quot;€&quot;"/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rgb="FFFFFFFF"/>
        </left>
        <right style="thin">
          <color rgb="FFFFFFFF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rgb="FFFFFFFF"/>
        </left>
        <right style="thin">
          <color rgb="FFFFFFFF"/>
        </right>
        <top style="thin">
          <color indexed="64"/>
        </top>
        <bottom/>
      </border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rgb="FFFFFFFF"/>
        </left>
        <right style="thin">
          <color rgb="FFFFFFFF"/>
        </right>
        <top style="thin">
          <color indexed="64"/>
        </top>
        <bottom/>
      </border>
    </dxf>
    <dxf>
      <numFmt numFmtId="167" formatCode="dd/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rgb="FFFFFFFF"/>
        </left>
        <right style="thin">
          <color rgb="FFFFFFFF"/>
        </right>
        <top style="thin">
          <color indexed="64"/>
        </top>
        <bottom/>
      </border>
    </dxf>
    <dxf>
      <numFmt numFmtId="22" formatCode="mmm/yy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rgb="FFFFFFFF"/>
        </left>
        <right style="thin">
          <color rgb="FFFFFFFF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D9D9D9"/>
          <bgColor rgb="FF92D050"/>
        </patternFill>
      </fill>
      <border diagonalUp="0" diagonalDown="0" outline="0">
        <left style="thin">
          <color indexed="64"/>
        </left>
        <right style="thin">
          <color rgb="FFFFFFFF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rgb="FFC6E0B4"/>
          <bgColor rgb="FFD9D9D9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2" formatCode="mmm/yy"/>
    </dxf>
    <dxf>
      <font>
        <strike val="0"/>
        <outline val="0"/>
        <shadow val="0"/>
        <u val="none"/>
        <vertAlign val="baseline"/>
        <sz val="11"/>
        <family val="2"/>
      </font>
      <numFmt numFmtId="22" formatCode="m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2" formatCode="mmm/yy"/>
      <fill>
        <patternFill patternType="solid">
          <fgColor indexed="64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A5A5A5"/>
          <bgColor rgb="FFA5A5A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A5A5A5"/>
          <bgColor rgb="FFA5A5A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A5A5A5"/>
          <bgColor rgb="FFA5A5A5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\ &quot;€&quot;;[Red]\-#,##0\ &quot;€&quot;"/>
      <fill>
        <patternFill patternType="solid">
          <fgColor rgb="FFD9D9D9"/>
          <bgColor rgb="FFD9D9D9"/>
        </patternFill>
      </fill>
      <border diagonalUp="0" diagonalDown="0" outline="0">
        <left style="thin">
          <color rgb="FFFFFFFF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#,##0\ &quot;€&quot;;[Red]\-#,##0\ &quot;€&quot;"/>
      <fill>
        <patternFill patternType="solid">
          <fgColor theme="0" tint="-0.14999847407452621"/>
          <bgColor theme="5" tint="0.59999389629810485"/>
        </patternFill>
      </fill>
      <alignment horizontal="right" vertical="bottom" textRotation="0" wrapText="1" indent="2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64" formatCode="#,##0\ &quot;€&quot;;[Red]\-#,##0\ &quot;€&quot;"/>
      <fill>
        <patternFill patternType="solid">
          <fgColor rgb="FFD9D9D9"/>
          <bgColor rgb="FFD9D9D9"/>
        </patternFill>
      </fill>
      <border diagonalUp="0" diagonalDown="0" outline="0">
        <left style="thin">
          <color rgb="FFFFFFFF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#,##0\ &quot;€&quot;;[Red]\-#,##0\ &quot;€&quot;"/>
      <fill>
        <patternFill patternType="solid">
          <fgColor theme="0" tint="-0.14999847407452621"/>
          <bgColor theme="0" tint="-0.149998474074526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rgb="FFFFFFFF"/>
        </left>
        <right style="thin">
          <color rgb="FFFFFFFF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rgb="FFFFFFFF"/>
        </left>
        <right style="thin">
          <color rgb="FFFFFFFF"/>
        </right>
        <top style="thin">
          <color indexed="64"/>
        </top>
        <bottom/>
      </border>
    </dxf>
    <dxf>
      <numFmt numFmtId="22" formatCode="mmm/yy"/>
      <fill>
        <patternFill patternType="solid">
          <fgColor theme="0" tint="-0.14999847407452621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rgb="FFFFFFFF"/>
        </left>
        <right style="thin">
          <color rgb="FFFFFFFF"/>
        </right>
        <top style="thin">
          <color indexed="64"/>
        </top>
        <bottom/>
      </border>
    </dxf>
    <dxf>
      <numFmt numFmtId="22" formatCode="mmm/yy"/>
      <fill>
        <patternFill patternType="solid">
          <fgColor indexed="64"/>
          <bgColor theme="5" tint="0.59999389629810485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D9D9D9"/>
          <bgColor rgb="FFD9D9D9"/>
        </patternFill>
      </fill>
      <border diagonalUp="0" diagonalDown="0" outline="0">
        <left style="thin">
          <color rgb="FFFFFFFF"/>
        </left>
        <right style="thin">
          <color rgb="FFFFFFFF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solid">
          <fgColor rgb="FFD9D9D9"/>
          <bgColor rgb="FF92D050"/>
        </patternFill>
      </fill>
      <border diagonalUp="0" diagonalDown="0" outline="0">
        <left style="thin">
          <color indexed="64"/>
        </left>
        <right style="thin">
          <color rgb="FFFFFFFF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rgb="FFC6E0B4"/>
          <bgColor rgb="FFD9D9D9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2" formatCode="mmm/yy"/>
    </dxf>
    <dxf>
      <font>
        <strike val="0"/>
        <outline val="0"/>
        <shadow val="0"/>
        <u val="none"/>
        <vertAlign val="baseline"/>
        <sz val="11"/>
        <family val="2"/>
      </font>
      <numFmt numFmtId="22" formatCode="m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numFmt numFmtId="22" formatCode="mmm/yy"/>
      <fill>
        <patternFill patternType="solid">
          <fgColor indexed="64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2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2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2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2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2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2" tint="-0.49998474074526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>
          <fgColor indexed="64"/>
          <bgColor theme="2" tint="-0.499984740745262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none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808080"/>
      <color rgb="FF757171"/>
      <color rgb="FFBF8F00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PT"/>
              <a:t>Entrada</a:t>
            </a:r>
            <a:r>
              <a:rPr lang="pt-PT" baseline="0"/>
              <a:t> projetos 2024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'IC 2024'!$B$84:$B$96</c:f>
              <c:strCache>
                <c:ptCount val="13"/>
                <c:pt idx="0">
                  <c:v>2024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'IC 2024'!$C$84:$C$96</c:f>
              <c:numCache>
                <c:formatCode>General</c:formatCode>
                <c:ptCount val="13"/>
                <c:pt idx="0">
                  <c:v>0</c:v>
                </c:pt>
                <c:pt idx="1">
                  <c:v>3</c:v>
                </c:pt>
                <c:pt idx="2">
                  <c:v>3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6</c:v>
                </c:pt>
                <c:pt idx="7">
                  <c:v>7</c:v>
                </c:pt>
                <c:pt idx="8">
                  <c:v>1</c:v>
                </c:pt>
                <c:pt idx="9">
                  <c:v>8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C8-9041-90AF-EF39F5C05F2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58488112"/>
        <c:axId val="558489824"/>
      </c:barChart>
      <c:catAx>
        <c:axId val="558488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8489824"/>
        <c:crosses val="autoZero"/>
        <c:auto val="1"/>
        <c:lblAlgn val="ctr"/>
        <c:lblOffset val="100"/>
        <c:noMultiLvlLbl val="0"/>
      </c:catAx>
      <c:valAx>
        <c:axId val="5584898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58488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PT"/>
              <a:t>Saída de projetos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'IC 2024'!$B$100:$B$112</c:f>
              <c:strCache>
                <c:ptCount val="13"/>
                <c:pt idx="0">
                  <c:v>2024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'IC 2024'!$C$100:$C$112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  <c:pt idx="10">
                  <c:v>1</c:v>
                </c:pt>
                <c:pt idx="11">
                  <c:v>6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52-0441-A401-9D6546D64A3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236174784"/>
        <c:axId val="236073248"/>
      </c:barChart>
      <c:catAx>
        <c:axId val="23617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PT"/>
          </a:p>
        </c:txPr>
        <c:crossAx val="236073248"/>
        <c:crosses val="autoZero"/>
        <c:auto val="1"/>
        <c:lblAlgn val="ctr"/>
        <c:lblOffset val="100"/>
        <c:noMultiLvlLbl val="0"/>
      </c:catAx>
      <c:valAx>
        <c:axId val="236073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3617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'IC 2025'!$D$66</c:f>
              <c:strCache>
                <c:ptCount val="1"/>
                <c:pt idx="0">
                  <c:v>Entradas projetos</c:v>
                </c:pt>
              </c:strCache>
            </c:strRef>
          </c:tx>
          <c:spPr>
            <a:gradFill>
              <a:gsLst>
                <a:gs pos="0">
                  <a:schemeClr val="accent6"/>
                </a:gs>
                <a:gs pos="100000">
                  <a:schemeClr val="accent6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'IC 2025'!$C$67:$C$78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'IC 2025'!$D$67:$D$78</c:f>
              <c:numCache>
                <c:formatCode>General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4-B24E-89CB-4CC4AD19957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306723216"/>
        <c:axId val="237155168"/>
      </c:barChart>
      <c:catAx>
        <c:axId val="30672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PT"/>
          </a:p>
        </c:txPr>
        <c:crossAx val="237155168"/>
        <c:crosses val="autoZero"/>
        <c:auto val="1"/>
        <c:lblAlgn val="ctr"/>
        <c:lblOffset val="100"/>
        <c:noMultiLvlLbl val="0"/>
      </c:catAx>
      <c:valAx>
        <c:axId val="2371551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0672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PT" sz="1800" b="1" i="0" u="none" strike="noStrike" baseline="0">
                <a:effectLst/>
              </a:rPr>
              <a:t>Saída de projetos</a:t>
            </a:r>
            <a:r>
              <a:rPr lang="pt-PT" b="0" i="0" u="none" strike="noStrike" baseline="0">
                <a:effectLst/>
              </a:rPr>
              <a:t> 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8.1437882764654412E-2"/>
          <c:y val="0.16706036745406824"/>
          <c:w val="0.91554177602799647"/>
          <c:h val="0.60847659667541554"/>
        </c:manualLayout>
      </c:layout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2"/>
                </a:gs>
                <a:gs pos="100000">
                  <a:schemeClr val="accent2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'IC 2025'!$C$83:$C$95</c:f>
              <c:strCache>
                <c:ptCount val="13"/>
                <c:pt idx="0">
                  <c:v>2025</c:v>
                </c:pt>
                <c:pt idx="1">
                  <c:v>Janeiro</c:v>
                </c:pt>
                <c:pt idx="2">
                  <c:v>Fevereiro</c:v>
                </c:pt>
                <c:pt idx="3">
                  <c:v>Março</c:v>
                </c:pt>
                <c:pt idx="4">
                  <c:v>Abril</c:v>
                </c:pt>
                <c:pt idx="5">
                  <c:v>Maio</c:v>
                </c:pt>
                <c:pt idx="6">
                  <c:v>Junho</c:v>
                </c:pt>
                <c:pt idx="7">
                  <c:v>Julho</c:v>
                </c:pt>
                <c:pt idx="8">
                  <c:v>Agosto</c:v>
                </c:pt>
                <c:pt idx="9">
                  <c:v>Setembro</c:v>
                </c:pt>
                <c:pt idx="10">
                  <c:v>Outubro</c:v>
                </c:pt>
                <c:pt idx="11">
                  <c:v>Novembro</c:v>
                </c:pt>
                <c:pt idx="12">
                  <c:v>Dezembro</c:v>
                </c:pt>
              </c:strCache>
            </c:strRef>
          </c:cat>
          <c:val>
            <c:numRef>
              <c:f>'IC 2025'!$D$83:$D$95</c:f>
              <c:numCache>
                <c:formatCode>General</c:formatCode>
                <c:ptCount val="1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23-9E45-BFB9-A11A0CE809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53329904"/>
        <c:axId val="208376640"/>
      </c:barChart>
      <c:catAx>
        <c:axId val="15332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8376640"/>
        <c:crosses val="autoZero"/>
        <c:auto val="1"/>
        <c:lblAlgn val="ctr"/>
        <c:lblOffset val="100"/>
        <c:noMultiLvlLbl val="0"/>
      </c:catAx>
      <c:valAx>
        <c:axId val="2083766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53329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134572</xdr:colOff>
      <xdr:row>1</xdr:row>
      <xdr:rowOff>44450</xdr:rowOff>
    </xdr:from>
    <xdr:to>
      <xdr:col>2</xdr:col>
      <xdr:colOff>434348</xdr:colOff>
      <xdr:row>4</xdr:row>
      <xdr:rowOff>117777</xdr:rowOff>
    </xdr:to>
    <xdr:pic>
      <xdr:nvPicPr>
        <xdr:cNvPr id="8" name="Imagem 2">
          <a:extLst>
            <a:ext uri="{FF2B5EF4-FFF2-40B4-BE49-F238E27FC236}">
              <a16:creationId xmlns:a16="http://schemas.microsoft.com/office/drawing/2014/main" id="{CC05DA72-C7AE-2ACC-A0B4-03351F2AF3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29" t="31071" b="31674"/>
        <a:stretch/>
      </xdr:blipFill>
      <xdr:spPr>
        <a:xfrm>
          <a:off x="725122" y="234950"/>
          <a:ext cx="1915216" cy="835327"/>
        </a:xfrm>
        <a:prstGeom prst="rect">
          <a:avLst/>
        </a:prstGeom>
      </xdr:spPr>
    </xdr:pic>
    <xdr:clientData/>
  </xdr:twoCellAnchor>
  <xdr:twoCellAnchor>
    <xdr:from>
      <xdr:col>9</xdr:col>
      <xdr:colOff>123825</xdr:colOff>
      <xdr:row>2</xdr:row>
      <xdr:rowOff>47625</xdr:rowOff>
    </xdr:from>
    <xdr:to>
      <xdr:col>10</xdr:col>
      <xdr:colOff>9525</xdr:colOff>
      <xdr:row>4</xdr:row>
      <xdr:rowOff>57150</xdr:rowOff>
    </xdr:to>
    <xdr:sp macro="" textlink="">
      <xdr:nvSpPr>
        <xdr:cNvPr id="3" name="CaixaDeTexto 3">
          <a:extLst>
            <a:ext uri="{FF2B5EF4-FFF2-40B4-BE49-F238E27FC236}">
              <a16:creationId xmlns:a16="http://schemas.microsoft.com/office/drawing/2014/main" id="{AB5668BB-E9F0-C3DF-1895-E2EED6B054C4}"/>
            </a:ext>
            <a:ext uri="{147F2762-F138-4A5C-976F-8EAC2B608ADB}">
              <a16:predDERef xmlns:a16="http://schemas.microsoft.com/office/drawing/2014/main" pred="{CC05DA72-C7AE-2ACC-A0B4-03351F2AF3B5}"/>
            </a:ext>
          </a:extLst>
        </xdr:cNvPr>
        <xdr:cNvSpPr txBox="1"/>
      </xdr:nvSpPr>
      <xdr:spPr>
        <a:xfrm>
          <a:off x="6858000" y="419100"/>
          <a:ext cx="1228725" cy="581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3200" b="1">
              <a:solidFill>
                <a:schemeClr val="dk1"/>
              </a:solidFill>
              <a:latin typeface="+mn-lt"/>
              <a:ea typeface="+mn-lt"/>
              <a:cs typeface="+mn-lt"/>
            </a:rPr>
            <a:t>2024</a:t>
          </a:r>
        </a:p>
      </xdr:txBody>
    </xdr:sp>
    <xdr:clientData/>
  </xdr:twoCellAnchor>
  <xdr:twoCellAnchor>
    <xdr:from>
      <xdr:col>3</xdr:col>
      <xdr:colOff>781050</xdr:colOff>
      <xdr:row>82</xdr:row>
      <xdr:rowOff>44450</xdr:rowOff>
    </xdr:from>
    <xdr:to>
      <xdr:col>5</xdr:col>
      <xdr:colOff>1187450</xdr:colOff>
      <xdr:row>96</xdr:row>
      <xdr:rowOff>69850</xdr:rowOff>
    </xdr:to>
    <xdr:graphicFrame macro="">
      <xdr:nvGraphicFramePr>
        <xdr:cNvPr id="34" name="Gráfico 1">
          <a:extLst>
            <a:ext uri="{FF2B5EF4-FFF2-40B4-BE49-F238E27FC236}">
              <a16:creationId xmlns:a16="http://schemas.microsoft.com/office/drawing/2014/main" id="{3B702220-3C56-CA46-8287-144BC2C12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736600</xdr:colOff>
      <xdr:row>98</xdr:row>
      <xdr:rowOff>177800</xdr:rowOff>
    </xdr:from>
    <xdr:to>
      <xdr:col>5</xdr:col>
      <xdr:colOff>1143000</xdr:colOff>
      <xdr:row>113</xdr:row>
      <xdr:rowOff>12700</xdr:rowOff>
    </xdr:to>
    <xdr:graphicFrame macro="">
      <xdr:nvGraphicFramePr>
        <xdr:cNvPr id="35" name="Gráfico 1">
          <a:extLst>
            <a:ext uri="{FF2B5EF4-FFF2-40B4-BE49-F238E27FC236}">
              <a16:creationId xmlns:a16="http://schemas.microsoft.com/office/drawing/2014/main" id="{2859ADE7-4045-2E0E-4396-82C872655C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655272</xdr:colOff>
      <xdr:row>0</xdr:row>
      <xdr:rowOff>201537</xdr:rowOff>
    </xdr:from>
    <xdr:to>
      <xdr:col>1</xdr:col>
      <xdr:colOff>1130300</xdr:colOff>
      <xdr:row>5</xdr:row>
      <xdr:rowOff>8748</xdr:rowOff>
    </xdr:to>
    <xdr:pic>
      <xdr:nvPicPr>
        <xdr:cNvPr id="2" name="Imagem 2">
          <a:extLst>
            <a:ext uri="{FF2B5EF4-FFF2-40B4-BE49-F238E27FC236}">
              <a16:creationId xmlns:a16="http://schemas.microsoft.com/office/drawing/2014/main" id="{E75CADA1-A8BC-3F45-B4F5-502E8D1ED1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29" t="31071" b="31674"/>
        <a:stretch/>
      </xdr:blipFill>
      <xdr:spPr>
        <a:xfrm>
          <a:off x="655272" y="201537"/>
          <a:ext cx="1135428" cy="1001011"/>
        </a:xfrm>
        <a:prstGeom prst="rect">
          <a:avLst/>
        </a:prstGeom>
      </xdr:spPr>
    </xdr:pic>
    <xdr:clientData/>
  </xdr:twoCellAnchor>
  <xdr:twoCellAnchor>
    <xdr:from>
      <xdr:col>10</xdr:col>
      <xdr:colOff>171450</xdr:colOff>
      <xdr:row>2</xdr:row>
      <xdr:rowOff>9525</xdr:rowOff>
    </xdr:from>
    <xdr:to>
      <xdr:col>11</xdr:col>
      <xdr:colOff>57150</xdr:colOff>
      <xdr:row>4</xdr:row>
      <xdr:rowOff>19050</xdr:rowOff>
    </xdr:to>
    <xdr:sp macro="" textlink="">
      <xdr:nvSpPr>
        <xdr:cNvPr id="3" name="CaixaDeTexto 3">
          <a:extLst>
            <a:ext uri="{FF2B5EF4-FFF2-40B4-BE49-F238E27FC236}">
              <a16:creationId xmlns:a16="http://schemas.microsoft.com/office/drawing/2014/main" id="{96A96A31-59E8-1548-8AC5-0C662462CCD0}"/>
            </a:ext>
            <a:ext uri="{147F2762-F138-4A5C-976F-8EAC2B608ADB}">
              <a16:predDERef xmlns:a16="http://schemas.microsoft.com/office/drawing/2014/main" pred="{664B8613-3A7F-425B-9013-1B7A70C9712B}"/>
            </a:ext>
          </a:extLst>
        </xdr:cNvPr>
        <xdr:cNvSpPr txBox="1"/>
      </xdr:nvSpPr>
      <xdr:spPr>
        <a:xfrm>
          <a:off x="16198850" y="428625"/>
          <a:ext cx="1422400" cy="606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3200" b="1">
              <a:solidFill>
                <a:schemeClr val="dk1"/>
              </a:solidFill>
              <a:latin typeface="+mn-lt"/>
              <a:ea typeface="+mn-lt"/>
              <a:cs typeface="+mn-lt"/>
            </a:rPr>
            <a:t>202</a:t>
          </a:r>
          <a:r>
            <a:rPr lang="en-US" sz="3200" b="1" i="0" u="none" strike="noStrike">
              <a:solidFill>
                <a:schemeClr val="dk1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5</a:t>
          </a:r>
        </a:p>
        <a:p>
          <a:pPr marL="0" indent="0"/>
          <a:endParaRPr lang="en-US" sz="3200" b="1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4</xdr:col>
      <xdr:colOff>387350</xdr:colOff>
      <xdr:row>64</xdr:row>
      <xdr:rowOff>177800</xdr:rowOff>
    </xdr:from>
    <xdr:to>
      <xdr:col>6</xdr:col>
      <xdr:colOff>793750</xdr:colOff>
      <xdr:row>79</xdr:row>
      <xdr:rowOff>12700</xdr:rowOff>
    </xdr:to>
    <xdr:graphicFrame macro="">
      <xdr:nvGraphicFramePr>
        <xdr:cNvPr id="6" name="Gráfico 3">
          <a:extLst>
            <a:ext uri="{FF2B5EF4-FFF2-40B4-BE49-F238E27FC236}">
              <a16:creationId xmlns:a16="http://schemas.microsoft.com/office/drawing/2014/main" id="{9987EA37-13C9-BD5E-A8F9-9C5CF60E3B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279400</xdr:colOff>
      <xdr:row>81</xdr:row>
      <xdr:rowOff>184150</xdr:rowOff>
    </xdr:from>
    <xdr:to>
      <xdr:col>6</xdr:col>
      <xdr:colOff>609600</xdr:colOff>
      <xdr:row>95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76A24DB-4CF2-6681-516B-AEB256452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0D7B1B28-DDCA-48F1-BA27-125A7029BB09}">
    <nsvFilter filterId="{0BFA39C1-3348-4401-8EDE-C6E11DB37A84}" ref="G1:L1087" tableId="3">
      <sortRules>
        <sortRule colId="2" id="{882B87B4-B085-4850-9659-D8F3C75FBFCB}">
          <sortCondition ref="I1:I1087"/>
        </sortRule>
      </sortRules>
    </nsvFilter>
  </namedSheetView>
  <namedSheetView name="Ver2" id="{3605B27F-0118-48CD-82A8-7188EE53C354}">
    <nsvFilter filterId="{0BFA39C1-3348-4401-8EDE-C6E11DB37A84}" ref="G1:L1087" tableId="3">
      <columnFilter colId="2" id="{882B87B4-B085-4850-9659-D8F3C75FBFCB}">
        <filter colId="2">
          <x:filters>
            <x:filter val="Aquecinox"/>
          </x:filters>
        </filter>
      </columnFilter>
    </nsvFilter>
  </namedSheetView>
  <namedSheetView name="Vista1" id="{753E9312-0BDD-41A6-9FCD-B2C04540F523}">
    <nsvFilter filterId="{0BFA39C1-3348-4401-8EDE-C6E11DB37A84}" ref="G1:L1087" tableId="3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B0EFE538-4469-4876-8D0F-0BB896D4E634}">
    <nsvFilter filterId="{4D850563-9DC9-494F-9A44-017ED2398754}" ref="A1:F767" tableId="4"/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Isabela Bastos" id="{D478E671-5CA6-4686-8173-ED76126C54C1}" userId="S::isabela.bastos@maabconsulting.com::c12f51bf-0554-4ce0-9972-00281eff9e25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CCCCA4-BDB3-4F19-A824-1D73D27F1686}" name="Tabela1" displayName="Tabela1" ref="B7:X75" totalsRowCount="1" headerRowDxfId="111" dataDxfId="110" totalsRowDxfId="109">
  <sortState xmlns:xlrd2="http://schemas.microsoft.com/office/spreadsheetml/2017/richdata2" ref="B9:X63">
    <sortCondition sortBy="cellColor" ref="B7:B74" dxfId="108"/>
  </sortState>
  <tableColumns count="23">
    <tableColumn id="1" xr3:uid="{B4FECF81-FB72-409E-8EF1-86453F32BD3A}" name="Nome" totalsRowLabel="26" dataDxfId="107" totalsRowDxfId="106"/>
    <tableColumn id="19" xr3:uid="{7AB78FC6-3423-455E-A4EB-E3B6468011A3}" name="Inicio" totalsRowLabel=" " dataDxfId="105" totalsRowDxfId="104"/>
    <tableColumn id="20" xr3:uid="{90CD9F58-7FC1-4A4D-A636-4F5D6D3C039B}" name="Data" dataDxfId="103" totalsRowDxfId="102"/>
    <tableColumn id="23" xr3:uid="{E7D7D2CD-ACD1-AA4D-B903-47504873DE59}" name="Saída" dataDxfId="101" totalsRowDxfId="100"/>
    <tableColumn id="2" xr3:uid="{1AA1EFDD-FFA0-40AF-9835-3856D51B49A1}" name="Manager" totalsRowLabel=" " dataDxfId="99" totalsRowDxfId="98"/>
    <tableColumn id="3" xr3:uid="{BEE00B59-115C-4AB4-8D79-42BCB58941F4}" name="Monthly Fee" totalsRowFunction="custom" dataDxfId="97" totalsRowDxfId="96">
      <totalsRowFormula>G40+#REF!+G65+G66+G62+G13+G14+G36+G16+#REF!+#REF!+G73+G67+G68+G69+G70+G71+G33+G42+G72+#REF!+G34+G64+G15+G17+#REF!</totalsRowFormula>
    </tableColumn>
    <tableColumn id="21" xr3:uid="{9D5E169B-662A-5D4E-B341-A77F2F479C0A}" name="Success Fee" dataDxfId="95" totalsRowDxfId="94"/>
    <tableColumn id="4" xr3:uid="{3C749D68-778D-4F3C-8BA1-DF946B553264}" name="Project Month" dataDxfId="93" totalsRowDxfId="92"/>
    <tableColumn id="5" xr3:uid="{29134697-648F-470A-97E0-6C12E8A2ABCD}" name="Status" totalsRowLabel=" " dataDxfId="91" totalsRowDxfId="90"/>
    <tableColumn id="22" xr3:uid="{3EB78B9D-2CBC-A240-AF40-CE23BF440956}" name="Comments" dataDxfId="89" totalsRowDxfId="88"/>
    <tableColumn id="6" xr3:uid="{3094503F-E98C-4974-8758-2A1AD154BB69}" name="jan/24" totalsRowFunction="custom" dataDxfId="87" totalsRowDxfId="86">
      <totalsRowFormula>L40+#REF!+L65+L66+L62+L13+L14+L36+L16+#REF!+#REF!+L73+L67+L68+L69+L70+L71+L33+L42+L72+#REF!+L34+L64+L15+L17+#REF!+L44+L49+L51+L52+L53</totalsRowFormula>
    </tableColumn>
    <tableColumn id="7" xr3:uid="{316FE81D-8484-4B7A-8EE2-489AC47C3A47}" name="fev/24" totalsRowFunction="custom" dataDxfId="85" totalsRowDxfId="84">
      <totalsRowFormula>M40+#REF!+M65+M66+M62+M13+M14+M36+M16+#REF!+#REF!+M73+M67+M68+M69+M70+M71+M33+M42+M72+#REF!+M34+M64+M15+M17+#REF!+M44+M49+M51+M52+M53</totalsRowFormula>
    </tableColumn>
    <tableColumn id="8" xr3:uid="{29DC9765-9312-4EF0-BC64-D52D9AF39C94}" name="mar/24" totalsRowFunction="custom" dataDxfId="83" totalsRowDxfId="82">
      <totalsRowFormula>N40+#REF!+N65+N66+N62+N13+N14+N36+N16+#REF!+#REF!+N73+N67+N68+N69+N70+N71+N33+N42+N72+#REF!+N34+N64+N15+N17+#REF!+N44+N49+N51+N52+N53</totalsRowFormula>
    </tableColumn>
    <tableColumn id="9" xr3:uid="{E2C53C9D-AFB4-45EB-8774-C77ABBFD4D1C}" name="abr/24" totalsRowFunction="custom" dataDxfId="81" totalsRowDxfId="80">
      <totalsRowFormula>O40+#REF!+O65+O66+O62+O13+O14+O36+O16+#REF!+#REF!+O73+O67+O68+O69+O70+O71+O33+O42+O72+#REF!+O34+O64+O15+O17+#REF!+O44+O49+O51+O52+O53</totalsRowFormula>
    </tableColumn>
    <tableColumn id="10" xr3:uid="{AE4986D5-A5DE-47F2-8F36-DC0786E72561}" name="mai/24" totalsRowFunction="custom" dataDxfId="79" totalsRowDxfId="78">
      <totalsRowFormula>P40+#REF!+P65+P66+P62+P13+P14+P36+P16+#REF!+#REF!+P73+P67+P68+P69+P70+P71+P33+P42+P72+#REF!+P34+P64+P15+P17+#REF!+P44+P49+P51+P52+P53</totalsRowFormula>
    </tableColumn>
    <tableColumn id="11" xr3:uid="{DDD81E7A-96F9-472F-B8C1-EF36A7F71ACB}" name="jun/24" totalsRowFunction="custom" dataDxfId="77" totalsRowDxfId="76">
      <totalsRowFormula>Q40+#REF!+Q65+Q66+Q62+Q13+Q14+Q36+Q16+#REF!+#REF!+Q73+Q67+Q68+Q69+Q70+Q71+Q33+Q42+Q72+#REF!+Q34+Q64+Q15+Q17+#REF!+Q44+Q49+Q51+Q52+Q53</totalsRowFormula>
    </tableColumn>
    <tableColumn id="12" xr3:uid="{00AFE4CD-0DD8-437B-89D2-6A3EFC80F6AB}" name="jul/24" totalsRowFunction="custom" dataDxfId="75" totalsRowDxfId="74">
      <totalsRowFormula>R40+#REF!+R65+R66+R62+R13+R14+R36+R16+#REF!+#REF!+R73+R67+R68+R69+R70+R71+R33+R42+R72+#REF!+R34+R64+R15+R17+#REF!+R44+R49+R51+R52+R53</totalsRowFormula>
    </tableColumn>
    <tableColumn id="13" xr3:uid="{DD2B0299-E374-4D39-9FC3-ED331BAD128D}" name="ago/24" totalsRowFunction="custom" dataDxfId="73" totalsRowDxfId="72">
      <totalsRowFormula>S40+#REF!+S65+S66+S62+S13+S14+S36+S16+#REF!+#REF!+S73+S67+S68+S69+S70+S71+S33+S42+S72+#REF!+S34+S64+S15+S17+#REF!+S44+S49+S51+S52+S53</totalsRowFormula>
    </tableColumn>
    <tableColumn id="14" xr3:uid="{3738A8E0-FC78-4355-9541-A819108B6AF1}" name="set/24" totalsRowFunction="custom" dataDxfId="71" totalsRowDxfId="70">
      <totalsRowFormula>T40+#REF!+T65+T66+T62+T13+T14+T36+T16+#REF!+#REF!+T73+T67+T68+T69+T70+T71+T33+T42+T72+#REF!+T34+T64+T15+T17+#REF!+T44+T49+T51+T52+T53</totalsRowFormula>
    </tableColumn>
    <tableColumn id="15" xr3:uid="{385C18BE-2033-48BB-BCA5-598BF5890C45}" name="out/24" totalsRowFunction="custom" dataDxfId="69" totalsRowDxfId="68">
      <totalsRowFormula>U40+#REF!+U65+U66+U62+U13+U14+U36+U16+#REF!+#REF!+U73+U67+U68+U69+U70+U71+U33+U42+U72+#REF!+U34+U64+U15+U17+#REF!+U44+U49+U51+U52+U53</totalsRowFormula>
    </tableColumn>
    <tableColumn id="16" xr3:uid="{522FB46F-88F2-4F76-8906-1101A1A05787}" name="nov/24" totalsRowFunction="custom" dataDxfId="67" totalsRowDxfId="66">
      <totalsRowFormula>V40+#REF!+V65+V66+V62+V13+V14+V36+V16+#REF!+#REF!+V73+V67+V68+V69+V70+V71+V33+V42+V72+#REF!+V34+V64+V15+V17+#REF!+V44+V49+V51+V52+V53</totalsRowFormula>
    </tableColumn>
    <tableColumn id="17" xr3:uid="{D477568B-0484-4897-AB2A-082C5D3EE4E6}" name="dez/24" totalsRowFunction="custom" dataDxfId="65" totalsRowDxfId="64">
      <totalsRowFormula>W40+#REF!+W65+W66+W62+W13+W14+W36+W16+#REF!+#REF!+W73+W67+W68+W69+W70+W71+W33+W42+W72+#REF!+W34+W64+W15+W17+#REF!+W44+W49+W51+W52+W53</totalsRowFormula>
    </tableColumn>
    <tableColumn id="18" xr3:uid="{884A0EC1-08A6-4543-957A-DBFC870B4710}" name="Total" totalsRowFunction="custom" dataDxfId="63" totalsRowDxfId="62">
      <totalsRowFormula>X40+#REF!+X65+X66+X62+X13+X14+X36+X16+#REF!+#REF!+X73+X67+X68+X69+X70+X71+X33+X42+X72+#REF!+X34+X64+X15+X17+#REF!+X44+X49+X51+X52+X53</totalsRowFormula>
    </tableColumn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640F6A-8AE0-8A44-A9A3-0C93EEAC9FF5}" name="Tabela153" displayName="Tabela153" ref="B7:Y53" totalsRowShown="0" headerRowDxfId="61" dataDxfId="60" totalsRowDxfId="59">
  <autoFilter ref="B7:Y53" xr:uid="{C2640F6A-8AE0-8A44-A9A3-0C93EEAC9FF5}">
    <filterColumn colId="9">
      <filters>
        <filter val="Active"/>
      </filters>
    </filterColumn>
  </autoFilter>
  <sortState xmlns:xlrd2="http://schemas.microsoft.com/office/spreadsheetml/2017/richdata2" ref="B8:Y53">
    <sortCondition sortBy="cellColor" ref="B7:B53" dxfId="58"/>
  </sortState>
  <tableColumns count="24">
    <tableColumn id="1" xr3:uid="{048F68F2-45DE-8F40-8808-8A3BB724A3E1}" name="Nome" dataDxfId="57" totalsRowDxfId="56"/>
    <tableColumn id="19" xr3:uid="{9BD87FF6-3574-0745-B99B-A56F9CB24440}" name="Inicio" dataDxfId="55" totalsRowDxfId="54"/>
    <tableColumn id="20" xr3:uid="{6DED591C-F372-4A4B-914D-D3A154A39DA5}" name="Data entrada" dataDxfId="53" totalsRowDxfId="52"/>
    <tableColumn id="23" xr3:uid="{997F414C-899C-F34D-B765-2BA50B84CED0}" name="Data 2" dataDxfId="51" totalsRowDxfId="50">
      <calculatedColumnFormula>TODAY()</calculatedColumnFormula>
    </tableColumn>
    <tableColumn id="24" xr3:uid="{1AE41BB5-9E8D-5F42-A664-613E1355A6B9}" name="Meses" dataDxfId="49" totalsRowDxfId="48">
      <calculatedColumnFormula>DATEDIF(Tabela153[[#This Row],[Data entrada]],Tabela153[[#This Row],[Data 2]], "M")</calculatedColumnFormula>
    </tableColumn>
    <tableColumn id="2" xr3:uid="{B909976B-D393-9049-880E-67896D81D67E}" name="Manager" dataDxfId="47" totalsRowDxfId="46"/>
    <tableColumn id="3" xr3:uid="{4007701F-F19A-9A4E-AA19-7A625178425E}" name="Monthly Fee" dataDxfId="45" totalsRowDxfId="44"/>
    <tableColumn id="21" xr3:uid="{5D8C4828-E6D4-A547-BB4E-567A9128DAE3}" name="Success Fee" dataDxfId="43" totalsRowDxfId="42"/>
    <tableColumn id="4" xr3:uid="{F1D7F001-C16D-FA4C-87E3-1A8D42DCF49D}" name="Project Month" dataDxfId="41" totalsRowDxfId="40"/>
    <tableColumn id="5" xr3:uid="{5E236C01-72CA-F04C-91F3-0DEAA92DEDE8}" name="Status" dataDxfId="39" totalsRowDxfId="38"/>
    <tableColumn id="22" xr3:uid="{1B024F25-B243-4749-A561-4E660F0347AE}" name="Comments" dataDxfId="37" totalsRowDxfId="36"/>
    <tableColumn id="6" xr3:uid="{A9DB2F19-650B-3547-AAD1-62EF274ED592}" name="jan/24" dataDxfId="35" totalsRowDxfId="34">
      <calculatedColumnFormula>COUNTIFS('Reuniões 2025'!I:I, B8)</calculatedColumnFormula>
    </tableColumn>
    <tableColumn id="7" xr3:uid="{0716D2DD-EF85-C14B-ADFC-3B1D5251FA90}" name="fev/24" dataDxfId="33" totalsRowDxfId="32"/>
    <tableColumn id="8" xr3:uid="{6E1CD174-041B-3648-A4D8-FBC2052A1462}" name="mar/24" dataDxfId="31" totalsRowDxfId="30"/>
    <tableColumn id="9" xr3:uid="{4D950140-D09D-1445-BE81-837858F4E1F3}" name="abr/24" dataDxfId="29" totalsRowDxfId="28"/>
    <tableColumn id="10" xr3:uid="{D2A05146-E1AB-CD4E-98ED-4EBF0DF8E258}" name="mai/24" dataDxfId="27" totalsRowDxfId="26"/>
    <tableColumn id="11" xr3:uid="{A7E5B0DC-3164-4549-8802-0CEF2B304A6A}" name="jun/24" dataDxfId="25" totalsRowDxfId="24"/>
    <tableColumn id="12" xr3:uid="{52544327-D6A1-1A41-845D-64404B881EB6}" name="jul/24" dataDxfId="23" totalsRowDxfId="22"/>
    <tableColumn id="13" xr3:uid="{8C65B745-71E7-3D49-8BEA-2F71FA459A51}" name="ago/24" dataDxfId="21" totalsRowDxfId="20"/>
    <tableColumn id="14" xr3:uid="{4B1EC841-8E75-BC47-B5F4-AC123F181739}" name="set/24" dataDxfId="19" totalsRowDxfId="18"/>
    <tableColumn id="15" xr3:uid="{661A1A37-D4F2-6649-B10F-1C6B1386931A}" name="out/24" dataDxfId="17" totalsRowDxfId="16"/>
    <tableColumn id="16" xr3:uid="{B05A5409-B977-9941-8491-AA58DC034983}" name="nov/24" dataDxfId="15" totalsRowDxfId="14"/>
    <tableColumn id="17" xr3:uid="{02EC6600-FE49-DC40-92AA-B0434DA231FE}" name="dez/24" dataDxfId="13" totalsRowDxfId="12"/>
    <tableColumn id="18" xr3:uid="{C1E66294-BDDD-A943-8D24-ABBFA2E82BB8}" name="Total" dataDxfId="11" totalsRowDxfId="10">
      <calculatedColumnFormula>COUNTIFS('Reuniões 2025'!I:I, B8)</calculatedColumnFormula>
    </tableColumn>
  </tableColumns>
  <tableStyleInfo name="TableStyleMedium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BFA39C1-3348-4401-8EDE-C6E11DB37A84}" name="Tabela3" displayName="Tabela3" ref="G1:L1087" totalsRowShown="0" headerRowDxfId="9" dataDxfId="7" headerRowBorderDxfId="8" tableBorderDxfId="6">
  <autoFilter ref="G1:L1087" xr:uid="{0BFA39C1-3348-4401-8EDE-C6E11DB37A84}"/>
  <tableColumns count="6">
    <tableColumn id="1" xr3:uid="{C3A947B3-3278-44BB-B1E1-A999115DCAA1}" name="Account Manager" dataDxfId="5"/>
    <tableColumn id="6" xr3:uid="{333469FE-7F28-4AA6-8307-46612B6E1389}" name="País" dataDxfId="4"/>
    <tableColumn id="2" xr3:uid="{882B87B4-B085-4850-9659-D8F3C75FBFCB}" name="Cliente" dataDxfId="3"/>
    <tableColumn id="7" xr3:uid="{0323122A-BA1B-48B3-BDE2-D3FE4F3B08D9}" name="Potencial Cliente" dataDxfId="2"/>
    <tableColumn id="3" xr3:uid="{93D92AB0-4773-40D3-A44F-9FAD83742A96}" name="Data" dataDxfId="1"/>
    <tableColumn id="4" xr3:uid="{28CA087F-460E-4EE6-B5BA-DA46A9911A12}" name="Score" dataDxfId="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850563-9DC9-494F-9A44-017ED2398754}" name="Tabela4" displayName="Tabela4" ref="A1:F767" totalsRowShown="0" headerRowDxfId="119" dataDxfId="118">
  <autoFilter ref="A1:F767" xr:uid="{4D850563-9DC9-494F-9A44-017ED2398754}"/>
  <tableColumns count="6">
    <tableColumn id="1" xr3:uid="{95A26D8E-BBC5-477F-BCED-E48D22A4080E}" name="Account Manager" dataDxfId="117"/>
    <tableColumn id="2" xr3:uid="{A11C80CC-DCF0-4A06-AF5F-11809DF8CBE0}" name="País" dataDxfId="116"/>
    <tableColumn id="3" xr3:uid="{22DA6015-01C9-47DF-B282-1329498FC3F7}" name="Cliente" dataDxfId="115"/>
    <tableColumn id="4" xr3:uid="{20B64D1B-2982-44E3-8398-6100CD7F68C3}" name="Potencial Cliente" dataDxfId="114"/>
    <tableColumn id="5" xr3:uid="{58A54087-5E7A-4043-9F58-A64707C6A374}" name="Data" dataDxfId="113"/>
    <tableColumn id="6" xr3:uid="{42C017D6-25A7-44B0-B18D-7D4EF3AFA80D}" name="Score" dataDxfId="112"/>
  </tableColumns>
  <tableStyleInfo name="TableStyleLight18" showFirstColumn="0" showLastColumn="0" showRowStripes="0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5" dT="2024-09-20T13:14:51.37" personId="{D478E671-5CA6-4686-8173-ED76126C54C1}" id="{34F88DCE-8F26-459F-9486-352766F35711}">
    <text>Reunião com Carter and White diretamente na fabrica da Givachoice</text>
  </threadedComment>
  <threadedComment ref="M65" dT="2024-08-20T11:30:27.05" personId="{D478E671-5CA6-4686-8173-ED76126C54C1}" id="{3CD50C67-8304-4AFF-B201-8F4E7416E49D}">
    <text>Reunião com NFW New Group of Companies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U49" dT="2024-09-20T13:14:51.37" personId="{D478E671-5CA6-4686-8173-ED76126C54C1}" id="{2DBED1B3-6239-BF4F-8133-068673359814}">
    <text>Reunião com Carter and White diretamente na fabrica da Givachoice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2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4F0D-EFC4-43AF-B5DD-0BADA6FFB4A3}">
  <dimension ref="A1:Z112"/>
  <sheetViews>
    <sheetView topLeftCell="A59" zoomScaleNormal="80" workbookViewId="0">
      <selection activeCell="G93" sqref="G93"/>
    </sheetView>
  </sheetViews>
  <sheetFormatPr baseColWidth="10" defaultColWidth="8.6640625" defaultRowHeight="15" x14ac:dyDescent="0.2"/>
  <cols>
    <col min="2" max="2" width="23.5" customWidth="1"/>
    <col min="3" max="3" width="15.6640625" customWidth="1"/>
    <col min="4" max="5" width="27.33203125" customWidth="1"/>
    <col min="6" max="6" width="18.33203125" style="1" customWidth="1"/>
    <col min="7" max="8" width="23.5" customWidth="1"/>
    <col min="9" max="9" width="15.1640625" customWidth="1"/>
    <col min="10" max="10" width="20.1640625" customWidth="1"/>
    <col min="11" max="11" width="49.5" customWidth="1"/>
    <col min="12" max="12" width="9" bestFit="1" customWidth="1"/>
    <col min="13" max="13" width="9.1640625" customWidth="1"/>
    <col min="21" max="21" width="9" customWidth="1"/>
  </cols>
  <sheetData>
    <row r="1" spans="1:24" ht="16" thickBot="1" x14ac:dyDescent="0.25"/>
    <row r="2" spans="1:24" x14ac:dyDescent="0.2">
      <c r="B2" s="360"/>
      <c r="C2" s="360"/>
      <c r="D2" s="360"/>
      <c r="E2" s="360"/>
      <c r="F2" s="360"/>
      <c r="G2" s="360"/>
      <c r="H2" s="360"/>
      <c r="I2" s="360"/>
      <c r="J2" s="360"/>
      <c r="O2" s="133"/>
    </row>
    <row r="3" spans="1:24" x14ac:dyDescent="0.2">
      <c r="B3" s="360"/>
      <c r="C3" s="360"/>
      <c r="D3" s="360"/>
      <c r="E3" s="360"/>
      <c r="F3" s="360"/>
      <c r="G3" s="360"/>
      <c r="H3" s="360"/>
      <c r="I3" s="360"/>
      <c r="J3" s="360"/>
    </row>
    <row r="4" spans="1:24" ht="31.25" customHeight="1" x14ac:dyDescent="0.2">
      <c r="B4" s="360"/>
      <c r="C4" s="360"/>
      <c r="D4" s="360"/>
      <c r="E4" s="360"/>
      <c r="F4" s="360"/>
      <c r="G4" s="360"/>
      <c r="H4" s="360"/>
      <c r="I4" s="360"/>
      <c r="J4" s="360"/>
      <c r="K4" s="133">
        <v>0.05</v>
      </c>
      <c r="M4" s="133"/>
    </row>
    <row r="5" spans="1:24" ht="17" thickBot="1" x14ac:dyDescent="0.25">
      <c r="B5" s="360"/>
      <c r="C5" s="360"/>
      <c r="D5" s="360"/>
      <c r="E5" s="360"/>
      <c r="F5" s="360"/>
      <c r="G5" s="360"/>
      <c r="H5" s="360"/>
      <c r="I5" s="360"/>
      <c r="J5" s="360"/>
      <c r="K5" s="35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4" ht="16" thickBot="1" x14ac:dyDescent="0.25">
      <c r="B6" s="27"/>
      <c r="C6" s="28"/>
      <c r="D6" s="28"/>
      <c r="E6" s="28"/>
      <c r="F6" s="28"/>
      <c r="G6" s="28"/>
      <c r="H6" s="28"/>
      <c r="I6" s="28"/>
      <c r="J6" s="28"/>
      <c r="K6" s="361" t="s">
        <v>0</v>
      </c>
      <c r="L6" s="361"/>
      <c r="M6" s="361"/>
      <c r="N6" s="361"/>
      <c r="O6" s="361"/>
      <c r="P6" s="361"/>
      <c r="Q6" s="361"/>
      <c r="R6" s="361"/>
      <c r="S6" s="361"/>
      <c r="T6" s="361"/>
      <c r="U6" s="361"/>
      <c r="V6" s="361"/>
    </row>
    <row r="7" spans="1:24" x14ac:dyDescent="0.2">
      <c r="B7" s="115" t="s">
        <v>1</v>
      </c>
      <c r="C7" s="73" t="s">
        <v>2</v>
      </c>
      <c r="D7" s="73" t="s">
        <v>3</v>
      </c>
      <c r="E7" s="73" t="s">
        <v>4</v>
      </c>
      <c r="F7" s="74" t="s">
        <v>5</v>
      </c>
      <c r="G7" s="74" t="s">
        <v>6</v>
      </c>
      <c r="H7" s="124" t="s">
        <v>7</v>
      </c>
      <c r="I7" s="75" t="s">
        <v>8</v>
      </c>
      <c r="J7" s="75" t="s">
        <v>9</v>
      </c>
      <c r="K7" s="101" t="s">
        <v>10</v>
      </c>
      <c r="L7" s="19" t="s">
        <v>11</v>
      </c>
      <c r="M7" s="19" t="s">
        <v>12</v>
      </c>
      <c r="N7" s="19" t="s">
        <v>13</v>
      </c>
      <c r="O7" s="19" t="s">
        <v>14</v>
      </c>
      <c r="P7" s="19" t="s">
        <v>15</v>
      </c>
      <c r="Q7" s="19" t="s">
        <v>16</v>
      </c>
      <c r="R7" s="19" t="s">
        <v>17</v>
      </c>
      <c r="S7" s="19" t="s">
        <v>18</v>
      </c>
      <c r="T7" s="19" t="s">
        <v>19</v>
      </c>
      <c r="U7" s="19" t="s">
        <v>20</v>
      </c>
      <c r="V7" s="19" t="s">
        <v>21</v>
      </c>
      <c r="W7" s="20" t="s">
        <v>22</v>
      </c>
      <c r="X7" s="2" t="s">
        <v>23</v>
      </c>
    </row>
    <row r="8" spans="1:24" ht="16" x14ac:dyDescent="0.2">
      <c r="A8" s="113"/>
      <c r="B8" s="71" t="s">
        <v>24</v>
      </c>
      <c r="C8" s="21">
        <v>45597</v>
      </c>
      <c r="D8" s="233" t="s">
        <v>25</v>
      </c>
      <c r="E8" s="87"/>
      <c r="F8" s="79" t="s">
        <v>26</v>
      </c>
      <c r="G8" s="10">
        <v>1200</v>
      </c>
      <c r="H8" s="135" t="s">
        <v>27</v>
      </c>
      <c r="I8" s="82">
        <v>1</v>
      </c>
      <c r="J8" s="82" t="s">
        <v>28</v>
      </c>
      <c r="K8" s="87"/>
    </row>
    <row r="9" spans="1:24" ht="16" x14ac:dyDescent="0.2">
      <c r="A9" s="113"/>
      <c r="B9" s="71" t="s">
        <v>29</v>
      </c>
      <c r="C9" s="21">
        <v>45627</v>
      </c>
      <c r="D9" s="87" t="s">
        <v>30</v>
      </c>
      <c r="E9" s="87"/>
      <c r="F9" s="132" t="s">
        <v>31</v>
      </c>
      <c r="G9" s="10">
        <v>1400</v>
      </c>
      <c r="H9" s="135" t="s">
        <v>27</v>
      </c>
      <c r="I9" s="81">
        <v>1</v>
      </c>
      <c r="J9" s="81" t="s">
        <v>32</v>
      </c>
      <c r="K9" s="87" t="s">
        <v>33</v>
      </c>
    </row>
    <row r="10" spans="1:24" x14ac:dyDescent="0.2">
      <c r="A10" s="113"/>
      <c r="B10" s="71" t="s">
        <v>34</v>
      </c>
      <c r="C10" s="21">
        <v>45444</v>
      </c>
      <c r="D10" s="87" t="s">
        <v>35</v>
      </c>
      <c r="E10" s="87"/>
      <c r="F10" s="78" t="s">
        <v>31</v>
      </c>
      <c r="G10" s="10">
        <v>1500</v>
      </c>
      <c r="H10" s="136">
        <v>0.05</v>
      </c>
      <c r="I10" s="81">
        <v>1</v>
      </c>
      <c r="J10" s="81" t="s">
        <v>28</v>
      </c>
      <c r="K10" s="87"/>
    </row>
    <row r="11" spans="1:24" ht="16" x14ac:dyDescent="0.2">
      <c r="A11" s="113"/>
      <c r="B11" s="77" t="s">
        <v>36</v>
      </c>
      <c r="C11" s="21">
        <v>45536</v>
      </c>
      <c r="D11" s="85" t="s">
        <v>37</v>
      </c>
      <c r="E11" s="85"/>
      <c r="F11" s="78" t="s">
        <v>38</v>
      </c>
      <c r="G11" s="10">
        <v>1200</v>
      </c>
      <c r="H11" s="135" t="s">
        <v>27</v>
      </c>
      <c r="I11" s="85">
        <v>1</v>
      </c>
      <c r="J11" s="84" t="s">
        <v>32</v>
      </c>
      <c r="K11" s="87"/>
    </row>
    <row r="12" spans="1:24" ht="16" x14ac:dyDescent="0.2">
      <c r="A12" s="113"/>
      <c r="B12" s="71" t="s">
        <v>39</v>
      </c>
      <c r="C12" s="21">
        <v>45536</v>
      </c>
      <c r="D12" s="21" t="s">
        <v>40</v>
      </c>
      <c r="E12" s="21"/>
      <c r="F12" s="86" t="s">
        <v>38</v>
      </c>
      <c r="G12" s="10">
        <v>1500</v>
      </c>
      <c r="H12" s="135" t="s">
        <v>27</v>
      </c>
      <c r="I12" s="29">
        <v>2</v>
      </c>
      <c r="J12" s="29" t="s">
        <v>28</v>
      </c>
      <c r="K12" s="29"/>
      <c r="L12" s="5"/>
      <c r="M12" s="5"/>
      <c r="N12" s="5"/>
      <c r="O12" s="5"/>
      <c r="P12" s="5"/>
      <c r="Q12" s="52"/>
      <c r="R12" s="52"/>
      <c r="S12" s="52"/>
      <c r="T12" s="5"/>
      <c r="U12" s="5"/>
      <c r="V12" s="5"/>
      <c r="W12" s="5"/>
      <c r="X12" s="53"/>
    </row>
    <row r="13" spans="1:24" ht="16" x14ac:dyDescent="0.2">
      <c r="A13" s="113"/>
      <c r="B13" s="107" t="s">
        <v>41</v>
      </c>
      <c r="C13" s="21">
        <v>45536</v>
      </c>
      <c r="D13" s="21" t="s">
        <v>42</v>
      </c>
      <c r="E13" s="21"/>
      <c r="F13" s="9" t="s">
        <v>43</v>
      </c>
      <c r="G13" s="10">
        <v>1900</v>
      </c>
      <c r="H13" s="135" t="s">
        <v>27</v>
      </c>
      <c r="I13" s="29">
        <v>0</v>
      </c>
      <c r="J13" s="29" t="s">
        <v>28</v>
      </c>
      <c r="K13" s="29"/>
      <c r="S13">
        <v>0</v>
      </c>
      <c r="X13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0</v>
      </c>
    </row>
    <row r="14" spans="1:24" ht="16" x14ac:dyDescent="0.2">
      <c r="A14" s="113"/>
      <c r="B14" s="107" t="s">
        <v>44</v>
      </c>
      <c r="C14" s="21">
        <v>45444</v>
      </c>
      <c r="D14" s="21" t="s">
        <v>45</v>
      </c>
      <c r="E14" s="21"/>
      <c r="F14" s="9" t="s">
        <v>43</v>
      </c>
      <c r="G14" s="10">
        <v>1100</v>
      </c>
      <c r="H14" s="135" t="s">
        <v>27</v>
      </c>
      <c r="I14" s="29">
        <v>1</v>
      </c>
      <c r="J14" s="72" t="s">
        <v>28</v>
      </c>
      <c r="K14" s="29" t="s">
        <v>46</v>
      </c>
      <c r="Q14" s="49">
        <v>0</v>
      </c>
      <c r="R14" s="49">
        <v>2</v>
      </c>
      <c r="S14" s="49">
        <v>1</v>
      </c>
      <c r="X14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3</v>
      </c>
    </row>
    <row r="15" spans="1:24" ht="17" customHeight="1" x14ac:dyDescent="0.2">
      <c r="A15" s="113"/>
      <c r="B15" s="71" t="s">
        <v>47</v>
      </c>
      <c r="C15" s="21">
        <v>45444</v>
      </c>
      <c r="D15" s="21" t="s">
        <v>48</v>
      </c>
      <c r="E15" s="21"/>
      <c r="F15" s="7" t="s">
        <v>26</v>
      </c>
      <c r="G15" s="8">
        <v>1300</v>
      </c>
      <c r="H15" s="135" t="s">
        <v>27</v>
      </c>
      <c r="I15" s="29">
        <v>2</v>
      </c>
      <c r="J15" s="29" t="s">
        <v>28</v>
      </c>
      <c r="K15" s="29"/>
      <c r="Q15" s="49">
        <v>1</v>
      </c>
      <c r="R15" s="49">
        <v>2</v>
      </c>
      <c r="S15" s="49">
        <v>0</v>
      </c>
      <c r="T15">
        <v>2</v>
      </c>
      <c r="X15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5</v>
      </c>
    </row>
    <row r="16" spans="1:24" ht="16" x14ac:dyDescent="0.2">
      <c r="A16" s="113"/>
      <c r="B16" s="107" t="s">
        <v>49</v>
      </c>
      <c r="C16" s="21">
        <v>45292</v>
      </c>
      <c r="D16" s="21" t="s">
        <v>50</v>
      </c>
      <c r="E16" s="21"/>
      <c r="F16" s="9" t="s">
        <v>43</v>
      </c>
      <c r="G16" s="10">
        <v>1100</v>
      </c>
      <c r="H16" s="135" t="s">
        <v>27</v>
      </c>
      <c r="I16" s="29">
        <v>7</v>
      </c>
      <c r="J16" s="29" t="s">
        <v>28</v>
      </c>
      <c r="K16" s="29"/>
      <c r="L16" s="49">
        <v>1</v>
      </c>
      <c r="M16" s="49">
        <v>3</v>
      </c>
      <c r="N16" s="49">
        <v>3</v>
      </c>
      <c r="O16" s="49">
        <v>2</v>
      </c>
      <c r="P16" s="49">
        <v>4</v>
      </c>
      <c r="Q16" s="49">
        <v>4</v>
      </c>
      <c r="R16" s="49">
        <v>3</v>
      </c>
      <c r="S16" s="49">
        <v>1</v>
      </c>
      <c r="X16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21</v>
      </c>
    </row>
    <row r="17" spans="1:24" ht="16" x14ac:dyDescent="0.2">
      <c r="A17" s="113"/>
      <c r="B17" s="107" t="s">
        <v>51</v>
      </c>
      <c r="C17" s="21">
        <v>45323</v>
      </c>
      <c r="D17" s="21" t="s">
        <v>52</v>
      </c>
      <c r="E17" s="21"/>
      <c r="F17" s="9" t="s">
        <v>43</v>
      </c>
      <c r="G17" s="10">
        <v>1500</v>
      </c>
      <c r="H17" s="135" t="s">
        <v>27</v>
      </c>
      <c r="I17" s="29">
        <v>6</v>
      </c>
      <c r="J17" s="29" t="s">
        <v>28</v>
      </c>
      <c r="K17" s="29"/>
      <c r="M17" s="49">
        <v>2</v>
      </c>
      <c r="N17" s="49">
        <v>2</v>
      </c>
      <c r="O17" s="49">
        <v>3</v>
      </c>
      <c r="P17" s="49">
        <v>4</v>
      </c>
      <c r="Q17" s="49">
        <v>2</v>
      </c>
      <c r="R17" s="49">
        <v>1</v>
      </c>
      <c r="S17" s="49">
        <v>0</v>
      </c>
      <c r="X17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14</v>
      </c>
    </row>
    <row r="18" spans="1:24" x14ac:dyDescent="0.2">
      <c r="A18" s="113"/>
      <c r="B18" s="76" t="s">
        <v>53</v>
      </c>
      <c r="C18" s="21">
        <v>45658</v>
      </c>
      <c r="D18" s="165" t="s">
        <v>50</v>
      </c>
      <c r="E18" s="165"/>
      <c r="F18" s="78" t="s">
        <v>38</v>
      </c>
      <c r="G18" s="10">
        <v>1000</v>
      </c>
      <c r="H18" s="10"/>
      <c r="I18" s="166">
        <v>1</v>
      </c>
      <c r="J18" s="166" t="s">
        <v>32</v>
      </c>
      <c r="K18" s="87" t="s">
        <v>54</v>
      </c>
    </row>
    <row r="19" spans="1:24" ht="16" x14ac:dyDescent="0.2">
      <c r="A19" s="113"/>
      <c r="B19" s="107" t="s">
        <v>55</v>
      </c>
      <c r="C19" s="21">
        <v>45559</v>
      </c>
      <c r="D19" s="21" t="s">
        <v>27</v>
      </c>
      <c r="E19" s="21"/>
      <c r="F19" s="9" t="s">
        <v>31</v>
      </c>
      <c r="G19" s="10">
        <v>1200</v>
      </c>
      <c r="H19" s="135" t="s">
        <v>27</v>
      </c>
      <c r="I19" s="29">
        <v>1</v>
      </c>
      <c r="J19" s="29" t="s">
        <v>28</v>
      </c>
      <c r="K19" s="29"/>
      <c r="S19" s="49">
        <v>0</v>
      </c>
      <c r="X19" s="37"/>
    </row>
    <row r="20" spans="1:24" ht="16" x14ac:dyDescent="0.2">
      <c r="A20" s="113"/>
      <c r="B20" s="107" t="s">
        <v>56</v>
      </c>
      <c r="C20" s="21">
        <v>45559</v>
      </c>
      <c r="D20" s="21" t="s">
        <v>27</v>
      </c>
      <c r="E20" s="21"/>
      <c r="F20" s="9" t="s">
        <v>43</v>
      </c>
      <c r="G20" s="10">
        <v>1200</v>
      </c>
      <c r="H20" s="135" t="s">
        <v>27</v>
      </c>
      <c r="I20" s="29">
        <v>1</v>
      </c>
      <c r="J20" s="29" t="s">
        <v>28</v>
      </c>
      <c r="K20" s="29"/>
      <c r="S20" s="49">
        <v>0</v>
      </c>
      <c r="X20" s="37"/>
    </row>
    <row r="21" spans="1:24" ht="16" x14ac:dyDescent="0.2">
      <c r="A21" s="113"/>
      <c r="B21" s="71" t="s">
        <v>57</v>
      </c>
      <c r="C21" s="22">
        <v>45627</v>
      </c>
      <c r="D21" s="21">
        <v>45627</v>
      </c>
      <c r="E21" s="21"/>
      <c r="F21" s="7" t="s">
        <v>43</v>
      </c>
      <c r="G21" s="8">
        <v>1900</v>
      </c>
      <c r="H21" s="135" t="s">
        <v>27</v>
      </c>
      <c r="I21" s="29">
        <v>1</v>
      </c>
      <c r="J21" s="29" t="s">
        <v>28</v>
      </c>
      <c r="K21" s="29"/>
      <c r="L21" s="52"/>
      <c r="M21" s="52"/>
      <c r="N21" s="52"/>
      <c r="O21" s="52"/>
      <c r="P21" s="52"/>
      <c r="Q21" s="52"/>
      <c r="R21" s="52"/>
      <c r="S21" s="52"/>
      <c r="T21" s="5"/>
      <c r="U21" s="5"/>
      <c r="V21" s="5"/>
      <c r="W21" s="5"/>
      <c r="X21" s="53"/>
    </row>
    <row r="22" spans="1:24" x14ac:dyDescent="0.2">
      <c r="A22" s="113"/>
      <c r="B22" s="107" t="s">
        <v>58</v>
      </c>
      <c r="C22" s="21">
        <v>45627</v>
      </c>
      <c r="D22" s="21" t="s">
        <v>59</v>
      </c>
      <c r="E22" s="21"/>
      <c r="F22" s="9" t="s">
        <v>38</v>
      </c>
      <c r="G22" s="10">
        <v>1900</v>
      </c>
      <c r="H22" s="136">
        <v>0.03</v>
      </c>
      <c r="I22" s="29"/>
      <c r="J22" s="29"/>
      <c r="K22" s="29"/>
      <c r="L22" s="52"/>
      <c r="M22" s="52"/>
      <c r="N22" s="52"/>
      <c r="O22" s="52"/>
      <c r="P22" s="52"/>
      <c r="Q22" s="52"/>
      <c r="R22" s="52"/>
      <c r="S22" s="52"/>
      <c r="T22" s="5"/>
      <c r="U22" s="5"/>
      <c r="V22" s="5"/>
      <c r="W22" s="5"/>
      <c r="X22" s="53"/>
    </row>
    <row r="23" spans="1:24" x14ac:dyDescent="0.2">
      <c r="A23" s="113"/>
      <c r="B23" s="107" t="s">
        <v>60</v>
      </c>
      <c r="C23" s="21">
        <v>45658</v>
      </c>
      <c r="D23" s="21" t="s">
        <v>61</v>
      </c>
      <c r="E23" s="21"/>
      <c r="F23" s="9" t="s">
        <v>38</v>
      </c>
      <c r="G23" s="10">
        <v>1500</v>
      </c>
      <c r="H23" s="136"/>
      <c r="I23" s="29">
        <v>3</v>
      </c>
      <c r="J23" s="29" t="s">
        <v>32</v>
      </c>
      <c r="K23" s="29" t="s">
        <v>62</v>
      </c>
    </row>
    <row r="24" spans="1:24" x14ac:dyDescent="0.2">
      <c r="A24" s="113"/>
      <c r="B24" s="71" t="s">
        <v>63</v>
      </c>
      <c r="C24" s="21">
        <v>45658</v>
      </c>
      <c r="D24" s="21" t="s">
        <v>64</v>
      </c>
      <c r="E24" s="21"/>
      <c r="F24" s="7" t="s">
        <v>65</v>
      </c>
      <c r="G24" s="8">
        <v>1900</v>
      </c>
      <c r="H24" s="136">
        <v>0.05</v>
      </c>
      <c r="I24" s="29">
        <v>1</v>
      </c>
      <c r="J24" s="29" t="s">
        <v>32</v>
      </c>
      <c r="K24" s="29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spans="1:24" s="38" customFormat="1" ht="16" x14ac:dyDescent="0.2">
      <c r="A25" s="114"/>
      <c r="B25" s="107" t="s">
        <v>66</v>
      </c>
      <c r="C25" s="22">
        <v>45292</v>
      </c>
      <c r="D25" s="22" t="s">
        <v>67</v>
      </c>
      <c r="E25" s="22"/>
      <c r="F25" s="9" t="s">
        <v>43</v>
      </c>
      <c r="G25" s="10">
        <v>1100</v>
      </c>
      <c r="H25" s="135" t="s">
        <v>27</v>
      </c>
      <c r="I25" s="29">
        <v>3</v>
      </c>
      <c r="J25" s="29" t="s">
        <v>32</v>
      </c>
      <c r="K25" s="29"/>
      <c r="L25" s="178">
        <v>4</v>
      </c>
      <c r="M25" s="178">
        <v>3</v>
      </c>
      <c r="N25" s="178">
        <v>2</v>
      </c>
      <c r="O25" s="178">
        <v>1</v>
      </c>
      <c r="P25" s="178">
        <v>2</v>
      </c>
      <c r="Q25" s="178">
        <v>3</v>
      </c>
      <c r="R25" s="178">
        <v>2</v>
      </c>
      <c r="S25" s="178">
        <v>0</v>
      </c>
      <c r="T25" s="178"/>
      <c r="U25" s="178"/>
      <c r="V25" s="178"/>
      <c r="W25" s="178"/>
      <c r="X25" s="17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17</v>
      </c>
    </row>
    <row r="26" spans="1:24" s="38" customFormat="1" x14ac:dyDescent="0.2">
      <c r="A26" s="114"/>
      <c r="B26" s="71" t="s">
        <v>68</v>
      </c>
      <c r="C26" s="22">
        <v>45658</v>
      </c>
      <c r="D26" s="21" t="s">
        <v>69</v>
      </c>
      <c r="E26" s="21"/>
      <c r="F26" s="7" t="s">
        <v>43</v>
      </c>
      <c r="G26" s="8">
        <v>1900</v>
      </c>
      <c r="H26" s="136">
        <v>0.05</v>
      </c>
      <c r="I26" s="29">
        <v>12</v>
      </c>
      <c r="J26" s="29" t="s">
        <v>32</v>
      </c>
      <c r="K26" s="29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9"/>
      <c r="X26" s="180"/>
    </row>
    <row r="27" spans="1:24" ht="17" customHeight="1" x14ac:dyDescent="0.2">
      <c r="A27" s="113"/>
      <c r="B27" s="76" t="s">
        <v>70</v>
      </c>
      <c r="C27" s="21">
        <v>45597</v>
      </c>
      <c r="D27" s="103" t="s">
        <v>71</v>
      </c>
      <c r="E27" s="308"/>
      <c r="F27" s="80" t="s">
        <v>38</v>
      </c>
      <c r="G27" s="10">
        <v>1500</v>
      </c>
      <c r="H27" s="135" t="s">
        <v>27</v>
      </c>
      <c r="I27" s="83">
        <v>1</v>
      </c>
      <c r="J27" s="29" t="s">
        <v>72</v>
      </c>
      <c r="K27" s="87"/>
    </row>
    <row r="28" spans="1:24" s="93" customFormat="1" x14ac:dyDescent="0.2">
      <c r="A28" s="114"/>
      <c r="B28" s="108"/>
      <c r="C28" s="94"/>
      <c r="D28" s="95"/>
      <c r="E28" s="95"/>
      <c r="F28" s="96"/>
      <c r="G28" s="97"/>
      <c r="H28" s="97"/>
      <c r="I28" s="98"/>
      <c r="J28" s="98"/>
      <c r="K28" s="98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100"/>
    </row>
    <row r="29" spans="1:24" ht="16" x14ac:dyDescent="0.2">
      <c r="A29" s="113"/>
      <c r="B29" s="254" t="s">
        <v>73</v>
      </c>
      <c r="C29" s="239">
        <v>45444</v>
      </c>
      <c r="D29" s="255">
        <v>45454</v>
      </c>
      <c r="E29" s="255">
        <v>45962</v>
      </c>
      <c r="F29" s="256" t="s">
        <v>43</v>
      </c>
      <c r="G29" s="244">
        <v>1500</v>
      </c>
      <c r="H29" s="253" t="s">
        <v>27</v>
      </c>
      <c r="I29" s="257">
        <v>2</v>
      </c>
      <c r="J29" s="257" t="s">
        <v>72</v>
      </c>
      <c r="K29" s="257"/>
      <c r="Q29" s="49">
        <v>0</v>
      </c>
      <c r="R29" s="49">
        <v>4</v>
      </c>
      <c r="S29" s="49">
        <v>0</v>
      </c>
      <c r="X29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4</v>
      </c>
    </row>
    <row r="30" spans="1:24" ht="16" x14ac:dyDescent="0.2">
      <c r="A30" s="113"/>
      <c r="B30" s="254" t="s">
        <v>74</v>
      </c>
      <c r="C30" s="239">
        <v>45559</v>
      </c>
      <c r="D30" s="255">
        <v>45537</v>
      </c>
      <c r="E30" s="250">
        <v>45567</v>
      </c>
      <c r="F30" s="256" t="s">
        <v>43</v>
      </c>
      <c r="G30" s="244">
        <v>1500</v>
      </c>
      <c r="H30" s="253" t="s">
        <v>27</v>
      </c>
      <c r="I30" s="257">
        <v>1</v>
      </c>
      <c r="J30" s="257" t="s">
        <v>72</v>
      </c>
      <c r="K30" s="257"/>
      <c r="S30" s="49">
        <v>0</v>
      </c>
      <c r="X30" s="37"/>
    </row>
    <row r="31" spans="1:24" ht="16.25" customHeight="1" x14ac:dyDescent="0.2">
      <c r="A31" s="114"/>
      <c r="B31" s="238" t="s">
        <v>75</v>
      </c>
      <c r="C31" s="239" t="s">
        <v>76</v>
      </c>
      <c r="D31" s="258">
        <v>45627</v>
      </c>
      <c r="E31" s="258">
        <v>45627</v>
      </c>
      <c r="F31" s="259" t="s">
        <v>38</v>
      </c>
      <c r="G31" s="260">
        <v>1500</v>
      </c>
      <c r="H31" s="260"/>
      <c r="I31" s="261">
        <v>1</v>
      </c>
      <c r="J31" s="245" t="s">
        <v>72</v>
      </c>
      <c r="K31" s="247" t="s">
        <v>33</v>
      </c>
    </row>
    <row r="32" spans="1:24" x14ac:dyDescent="0.2">
      <c r="A32" s="113"/>
      <c r="B32" s="262" t="s">
        <v>77</v>
      </c>
      <c r="C32" s="263">
        <v>45474</v>
      </c>
      <c r="D32" s="241">
        <v>45482</v>
      </c>
      <c r="E32" s="250">
        <v>45544</v>
      </c>
      <c r="F32" s="264" t="s">
        <v>31</v>
      </c>
      <c r="G32" s="265">
        <v>1500</v>
      </c>
      <c r="H32" s="263" t="s">
        <v>27</v>
      </c>
      <c r="I32" s="263">
        <v>3</v>
      </c>
      <c r="J32" s="263" t="s">
        <v>72</v>
      </c>
      <c r="K32" s="263" t="s">
        <v>78</v>
      </c>
      <c r="R32" s="49">
        <v>2</v>
      </c>
      <c r="S32" s="49">
        <v>1</v>
      </c>
      <c r="T32" s="49">
        <v>3</v>
      </c>
      <c r="U32">
        <v>1</v>
      </c>
      <c r="X32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7</v>
      </c>
    </row>
    <row r="33" spans="1:24" x14ac:dyDescent="0.2">
      <c r="A33" s="113"/>
      <c r="B33" s="266" t="s">
        <v>79</v>
      </c>
      <c r="C33" s="263">
        <v>45505</v>
      </c>
      <c r="D33" s="241">
        <v>45505</v>
      </c>
      <c r="E33" s="241">
        <v>45413</v>
      </c>
      <c r="F33" s="267" t="s">
        <v>26</v>
      </c>
      <c r="G33" s="260">
        <v>800</v>
      </c>
      <c r="H33" s="260"/>
      <c r="I33" s="257">
        <v>0</v>
      </c>
      <c r="J33" s="257" t="s">
        <v>72</v>
      </c>
      <c r="K33" s="257" t="s">
        <v>80</v>
      </c>
      <c r="L33" s="49">
        <v>2</v>
      </c>
      <c r="M33" s="49">
        <v>1</v>
      </c>
      <c r="N33" s="49">
        <v>0</v>
      </c>
      <c r="O33" s="49">
        <v>0</v>
      </c>
      <c r="P33" s="49">
        <v>0</v>
      </c>
      <c r="Q33" s="49">
        <v>0</v>
      </c>
      <c r="R33" s="49">
        <v>0</v>
      </c>
      <c r="S33" s="49">
        <v>0</v>
      </c>
      <c r="X33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3</v>
      </c>
    </row>
    <row r="34" spans="1:24" x14ac:dyDescent="0.2">
      <c r="A34" s="113"/>
      <c r="B34" s="266" t="s">
        <v>81</v>
      </c>
      <c r="C34" s="239">
        <v>45078</v>
      </c>
      <c r="D34" s="309">
        <v>45544</v>
      </c>
      <c r="E34" s="250">
        <v>45544</v>
      </c>
      <c r="F34" s="267" t="s">
        <v>31</v>
      </c>
      <c r="G34" s="260">
        <v>1100</v>
      </c>
      <c r="H34" s="260"/>
      <c r="I34" s="257">
        <v>15</v>
      </c>
      <c r="J34" s="257" t="s">
        <v>72</v>
      </c>
      <c r="K34" s="257" t="s">
        <v>82</v>
      </c>
      <c r="L34" s="49">
        <v>3</v>
      </c>
      <c r="M34" s="49">
        <v>2</v>
      </c>
      <c r="N34" s="49">
        <v>1</v>
      </c>
      <c r="O34" s="49">
        <v>2</v>
      </c>
      <c r="P34" s="49">
        <v>0</v>
      </c>
      <c r="Q34" s="49">
        <v>0</v>
      </c>
      <c r="R34" s="49">
        <v>2</v>
      </c>
      <c r="S34" s="49">
        <v>0</v>
      </c>
      <c r="T34">
        <v>1</v>
      </c>
      <c r="U34">
        <v>1</v>
      </c>
      <c r="X34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12</v>
      </c>
    </row>
    <row r="35" spans="1:24" s="93" customFormat="1" x14ac:dyDescent="0.2">
      <c r="A35" s="113"/>
      <c r="B35" s="112"/>
      <c r="C35" s="104"/>
      <c r="D35" s="104"/>
      <c r="E35" s="104"/>
      <c r="F35" s="105"/>
      <c r="G35" s="111"/>
      <c r="H35" s="111"/>
      <c r="I35" s="106"/>
      <c r="J35" s="106"/>
      <c r="K35" s="106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100"/>
    </row>
    <row r="36" spans="1:24" ht="16" x14ac:dyDescent="0.2">
      <c r="A36" s="113"/>
      <c r="B36" s="109" t="s">
        <v>83</v>
      </c>
      <c r="C36" s="23">
        <v>45444</v>
      </c>
      <c r="D36" s="310">
        <v>45450</v>
      </c>
      <c r="E36" s="310">
        <v>45598</v>
      </c>
      <c r="F36" s="11" t="s">
        <v>26</v>
      </c>
      <c r="G36" s="12">
        <v>1500</v>
      </c>
      <c r="H36" s="148" t="s">
        <v>27</v>
      </c>
      <c r="I36" s="30">
        <v>1</v>
      </c>
      <c r="J36" s="30" t="s">
        <v>84</v>
      </c>
      <c r="K36" s="30"/>
      <c r="Q36" s="49">
        <v>0</v>
      </c>
      <c r="R36" s="49">
        <v>5</v>
      </c>
      <c r="S36" s="49">
        <v>1</v>
      </c>
      <c r="X36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6</v>
      </c>
    </row>
    <row r="37" spans="1:24" ht="17" customHeight="1" x14ac:dyDescent="0.2">
      <c r="A37" s="113"/>
      <c r="B37" s="158" t="s">
        <v>85</v>
      </c>
      <c r="C37" s="23">
        <v>45566</v>
      </c>
      <c r="D37" s="311">
        <v>45581</v>
      </c>
      <c r="E37" s="311">
        <v>45629</v>
      </c>
      <c r="F37" s="159" t="s">
        <v>26</v>
      </c>
      <c r="G37" s="12">
        <v>1500</v>
      </c>
      <c r="H37" s="148" t="s">
        <v>27</v>
      </c>
      <c r="I37" s="160">
        <v>1</v>
      </c>
      <c r="J37" s="161" t="s">
        <v>84</v>
      </c>
      <c r="K37" s="162"/>
    </row>
    <row r="38" spans="1:24" ht="16" x14ac:dyDescent="0.2">
      <c r="A38" s="113"/>
      <c r="B38" s="158" t="s">
        <v>86</v>
      </c>
      <c r="C38" s="23">
        <v>45566</v>
      </c>
      <c r="D38" s="311">
        <v>45587</v>
      </c>
      <c r="E38" s="312">
        <v>45656</v>
      </c>
      <c r="F38" s="163" t="s">
        <v>38</v>
      </c>
      <c r="G38" s="12">
        <v>1500</v>
      </c>
      <c r="H38" s="148" t="s">
        <v>27</v>
      </c>
      <c r="I38" s="160">
        <v>1</v>
      </c>
      <c r="J38" s="164" t="s">
        <v>84</v>
      </c>
      <c r="K38" s="162"/>
    </row>
    <row r="39" spans="1:24" s="93" customFormat="1" ht="16" x14ac:dyDescent="0.2">
      <c r="A39" s="114"/>
      <c r="B39" s="147" t="s">
        <v>87</v>
      </c>
      <c r="C39" s="42">
        <v>45597</v>
      </c>
      <c r="D39" s="310">
        <v>45623</v>
      </c>
      <c r="E39" s="310">
        <v>45656</v>
      </c>
      <c r="F39" s="14" t="s">
        <v>31</v>
      </c>
      <c r="G39" s="13">
        <v>1500</v>
      </c>
      <c r="H39" s="148" t="s">
        <v>27</v>
      </c>
      <c r="I39" s="30">
        <v>1</v>
      </c>
      <c r="J39" s="30" t="s">
        <v>84</v>
      </c>
      <c r="K39" s="30" t="s">
        <v>88</v>
      </c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100"/>
    </row>
    <row r="40" spans="1:24" ht="16" x14ac:dyDescent="0.2">
      <c r="A40" s="113"/>
      <c r="B40" s="147" t="s">
        <v>89</v>
      </c>
      <c r="C40" s="23">
        <v>45444</v>
      </c>
      <c r="D40" s="310">
        <v>45445</v>
      </c>
      <c r="E40" s="310">
        <v>45623</v>
      </c>
      <c r="F40" s="92" t="s">
        <v>43</v>
      </c>
      <c r="G40" s="13">
        <v>1900</v>
      </c>
      <c r="H40" s="148" t="s">
        <v>27</v>
      </c>
      <c r="I40" s="30">
        <v>1</v>
      </c>
      <c r="J40" s="30" t="s">
        <v>84</v>
      </c>
      <c r="K40" s="30"/>
      <c r="Q40" s="49">
        <v>0</v>
      </c>
      <c r="R40" s="49">
        <v>1</v>
      </c>
      <c r="S40" s="49">
        <v>2</v>
      </c>
      <c r="X40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3</v>
      </c>
    </row>
    <row r="41" spans="1:24" s="38" customFormat="1" ht="16" x14ac:dyDescent="0.2">
      <c r="A41" s="114"/>
      <c r="B41" s="147" t="s">
        <v>90</v>
      </c>
      <c r="C41" s="23">
        <v>45536</v>
      </c>
      <c r="D41" s="310">
        <v>45539</v>
      </c>
      <c r="E41" s="310">
        <v>45625</v>
      </c>
      <c r="F41" s="14" t="s">
        <v>26</v>
      </c>
      <c r="G41" s="13">
        <v>1200</v>
      </c>
      <c r="H41" s="148" t="s">
        <v>27</v>
      </c>
      <c r="I41" s="30">
        <v>0</v>
      </c>
      <c r="J41" s="30" t="s">
        <v>84</v>
      </c>
      <c r="K41" s="30"/>
      <c r="T41" s="38">
        <v>1</v>
      </c>
    </row>
    <row r="42" spans="1:24" ht="16" x14ac:dyDescent="0.2">
      <c r="A42" s="113"/>
      <c r="B42" s="147" t="s">
        <v>91</v>
      </c>
      <c r="C42" s="42">
        <v>45474</v>
      </c>
      <c r="D42" s="313">
        <v>45492</v>
      </c>
      <c r="E42" s="313">
        <v>45624</v>
      </c>
      <c r="F42" s="14" t="s">
        <v>38</v>
      </c>
      <c r="G42" s="13">
        <v>1500</v>
      </c>
      <c r="H42" s="148" t="s">
        <v>27</v>
      </c>
      <c r="I42" s="30">
        <v>1</v>
      </c>
      <c r="J42" s="30" t="s">
        <v>84</v>
      </c>
      <c r="K42" s="30"/>
      <c r="R42" s="49">
        <v>2</v>
      </c>
      <c r="S42" s="49">
        <v>0</v>
      </c>
      <c r="X42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2</v>
      </c>
    </row>
    <row r="43" spans="1:24" x14ac:dyDescent="0.2">
      <c r="A43" s="113"/>
      <c r="B43" s="110" t="s">
        <v>92</v>
      </c>
      <c r="C43" s="23">
        <v>45566</v>
      </c>
      <c r="D43" s="310">
        <v>45581</v>
      </c>
      <c r="E43" s="310">
        <v>45612</v>
      </c>
      <c r="F43" s="89" t="s">
        <v>31</v>
      </c>
      <c r="G43" s="90">
        <v>1500</v>
      </c>
      <c r="H43" s="23" t="s">
        <v>27</v>
      </c>
      <c r="I43" s="30">
        <v>2</v>
      </c>
      <c r="J43" s="23" t="s">
        <v>84</v>
      </c>
      <c r="K43" s="23"/>
    </row>
    <row r="44" spans="1:24" x14ac:dyDescent="0.2">
      <c r="A44" s="114"/>
      <c r="B44" s="109" t="s">
        <v>93</v>
      </c>
      <c r="C44" s="23">
        <v>45231</v>
      </c>
      <c r="D44" s="23"/>
      <c r="E44" s="23"/>
      <c r="F44" s="11" t="s">
        <v>94</v>
      </c>
      <c r="G44" s="12">
        <v>1100</v>
      </c>
      <c r="H44" s="12"/>
      <c r="I44" s="30">
        <v>3</v>
      </c>
      <c r="J44" s="30" t="s">
        <v>84</v>
      </c>
      <c r="K44" s="30"/>
      <c r="L44" s="38">
        <v>2</v>
      </c>
      <c r="M44" s="38">
        <v>1</v>
      </c>
      <c r="N44" s="38">
        <v>0</v>
      </c>
      <c r="O44" s="38">
        <v>0</v>
      </c>
      <c r="P44" s="38">
        <v>0</v>
      </c>
      <c r="Q44" s="38">
        <v>0</v>
      </c>
      <c r="R44" s="38">
        <v>0</v>
      </c>
      <c r="S44" s="38">
        <v>0</v>
      </c>
      <c r="T44" s="38"/>
      <c r="U44" s="38"/>
      <c r="V44" s="38"/>
      <c r="W44" s="38"/>
      <c r="X44" s="109">
        <v>2</v>
      </c>
    </row>
    <row r="45" spans="1:24" x14ac:dyDescent="0.2">
      <c r="A45" s="113"/>
      <c r="B45" s="3" t="s">
        <v>95</v>
      </c>
      <c r="C45" s="23">
        <v>45200</v>
      </c>
      <c r="D45" s="23"/>
      <c r="E45" s="23"/>
      <c r="F45" s="11" t="s">
        <v>96</v>
      </c>
      <c r="G45" s="12">
        <v>600</v>
      </c>
      <c r="H45" s="12"/>
      <c r="I45" s="30">
        <v>2</v>
      </c>
      <c r="J45" s="30" t="s">
        <v>84</v>
      </c>
      <c r="K45" s="30"/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X45" s="37">
        <v>2</v>
      </c>
    </row>
    <row r="46" spans="1:24" x14ac:dyDescent="0.2">
      <c r="B46" s="3" t="s">
        <v>97</v>
      </c>
      <c r="C46" s="23">
        <v>45078</v>
      </c>
      <c r="D46" s="23"/>
      <c r="E46" s="23"/>
      <c r="F46" s="11" t="s">
        <v>94</v>
      </c>
      <c r="G46" s="12">
        <v>1100</v>
      </c>
      <c r="H46" s="12"/>
      <c r="I46" s="30">
        <v>6</v>
      </c>
      <c r="J46" s="30" t="s">
        <v>84</v>
      </c>
      <c r="K46" s="30"/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X46" s="37">
        <v>3</v>
      </c>
    </row>
    <row r="47" spans="1:24" x14ac:dyDescent="0.2">
      <c r="B47" s="3" t="s">
        <v>98</v>
      </c>
      <c r="C47" s="23">
        <v>45017</v>
      </c>
      <c r="D47" s="23"/>
      <c r="E47" s="23"/>
      <c r="F47" s="11" t="s">
        <v>94</v>
      </c>
      <c r="G47" s="12">
        <v>600</v>
      </c>
      <c r="H47" s="12"/>
      <c r="I47" s="30">
        <v>6</v>
      </c>
      <c r="J47" s="30" t="s">
        <v>84</v>
      </c>
      <c r="K47" s="30"/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X47" s="37">
        <v>0</v>
      </c>
    </row>
    <row r="48" spans="1:24" x14ac:dyDescent="0.2">
      <c r="B48" s="3" t="s">
        <v>99</v>
      </c>
      <c r="C48" s="23">
        <v>45170</v>
      </c>
      <c r="D48" s="23"/>
      <c r="E48" s="23"/>
      <c r="F48" s="11" t="s">
        <v>94</v>
      </c>
      <c r="G48" s="12">
        <v>1100</v>
      </c>
      <c r="H48" s="12"/>
      <c r="I48" s="30">
        <v>2</v>
      </c>
      <c r="J48" s="30" t="s">
        <v>84</v>
      </c>
      <c r="K48" s="30"/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X48" s="37">
        <v>0</v>
      </c>
    </row>
    <row r="49" spans="2:24" x14ac:dyDescent="0.2">
      <c r="B49" s="3" t="s">
        <v>100</v>
      </c>
      <c r="C49" s="23">
        <v>44805</v>
      </c>
      <c r="D49" s="23"/>
      <c r="E49" s="23"/>
      <c r="F49" s="11" t="s">
        <v>26</v>
      </c>
      <c r="G49" s="12">
        <v>500</v>
      </c>
      <c r="H49" s="12"/>
      <c r="I49" s="30">
        <v>18</v>
      </c>
      <c r="J49" s="30" t="s">
        <v>84</v>
      </c>
      <c r="K49" s="30"/>
      <c r="L49" s="38">
        <v>2</v>
      </c>
      <c r="M49" s="38">
        <v>3</v>
      </c>
      <c r="N49" s="38">
        <v>2</v>
      </c>
      <c r="O49" s="38">
        <v>1</v>
      </c>
      <c r="P49" s="38">
        <v>1</v>
      </c>
      <c r="Q49">
        <v>0</v>
      </c>
      <c r="R49">
        <v>0</v>
      </c>
      <c r="S49">
        <v>0</v>
      </c>
      <c r="X49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9</v>
      </c>
    </row>
    <row r="50" spans="2:24" x14ac:dyDescent="0.2">
      <c r="B50" s="3" t="s">
        <v>101</v>
      </c>
      <c r="C50" s="23">
        <v>45108</v>
      </c>
      <c r="D50" s="23"/>
      <c r="E50" s="23"/>
      <c r="F50" s="11" t="s">
        <v>102</v>
      </c>
      <c r="G50" s="12">
        <v>800</v>
      </c>
      <c r="H50" s="12"/>
      <c r="I50" s="30">
        <v>8</v>
      </c>
      <c r="J50" s="30" t="s">
        <v>84</v>
      </c>
      <c r="K50" s="30"/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X50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0</v>
      </c>
    </row>
    <row r="51" spans="2:24" x14ac:dyDescent="0.2">
      <c r="B51" s="4" t="s">
        <v>103</v>
      </c>
      <c r="C51" s="42">
        <v>45231</v>
      </c>
      <c r="D51" s="42"/>
      <c r="E51" s="42"/>
      <c r="F51" s="14" t="s">
        <v>94</v>
      </c>
      <c r="G51" s="13">
        <v>1100</v>
      </c>
      <c r="H51" s="13"/>
      <c r="I51" s="30">
        <v>3</v>
      </c>
      <c r="J51" s="30" t="s">
        <v>84</v>
      </c>
      <c r="K51" s="30"/>
      <c r="L51" s="38">
        <v>3</v>
      </c>
      <c r="M51" s="38">
        <v>3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X51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6</v>
      </c>
    </row>
    <row r="52" spans="2:24" x14ac:dyDescent="0.2">
      <c r="B52" s="4" t="s">
        <v>104</v>
      </c>
      <c r="C52" s="23">
        <v>45292</v>
      </c>
      <c r="D52" s="23"/>
      <c r="E52" s="23"/>
      <c r="F52" s="11" t="s">
        <v>43</v>
      </c>
      <c r="G52" s="13">
        <v>800</v>
      </c>
      <c r="H52" s="13"/>
      <c r="I52" s="30">
        <v>5</v>
      </c>
      <c r="J52" s="30" t="s">
        <v>84</v>
      </c>
      <c r="K52" s="30"/>
      <c r="L52" s="38">
        <v>2</v>
      </c>
      <c r="M52" s="38">
        <v>3</v>
      </c>
      <c r="N52" s="38">
        <v>4</v>
      </c>
      <c r="O52" s="38">
        <v>1</v>
      </c>
      <c r="P52" s="38">
        <v>2</v>
      </c>
      <c r="Q52" s="38">
        <v>1</v>
      </c>
      <c r="R52">
        <v>0</v>
      </c>
      <c r="S52">
        <v>0</v>
      </c>
      <c r="X52" s="37">
        <v>1</v>
      </c>
    </row>
    <row r="53" spans="2:24" x14ac:dyDescent="0.2">
      <c r="B53" s="4" t="s">
        <v>105</v>
      </c>
      <c r="C53" s="23">
        <v>45323</v>
      </c>
      <c r="D53" s="23"/>
      <c r="E53" s="23"/>
      <c r="F53" s="14" t="s">
        <v>26</v>
      </c>
      <c r="G53" s="13">
        <v>1100</v>
      </c>
      <c r="H53" s="13"/>
      <c r="I53" s="30">
        <v>2</v>
      </c>
      <c r="J53" s="30" t="s">
        <v>84</v>
      </c>
      <c r="K53" s="30"/>
      <c r="L53" s="38">
        <v>2</v>
      </c>
      <c r="M53" s="38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X53" s="37">
        <v>2</v>
      </c>
    </row>
    <row r="54" spans="2:24" x14ac:dyDescent="0.2">
      <c r="B54" s="3" t="s">
        <v>106</v>
      </c>
      <c r="C54" s="23">
        <v>45108</v>
      </c>
      <c r="D54" s="23"/>
      <c r="E54" s="23"/>
      <c r="F54" s="11" t="s">
        <v>26</v>
      </c>
      <c r="G54" s="12">
        <v>1100</v>
      </c>
      <c r="H54" s="12"/>
      <c r="I54" s="30">
        <v>4</v>
      </c>
      <c r="J54" s="30" t="s">
        <v>84</v>
      </c>
      <c r="K54" s="30"/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X54" s="37">
        <v>0</v>
      </c>
    </row>
    <row r="55" spans="2:24" x14ac:dyDescent="0.2">
      <c r="B55" s="4" t="s">
        <v>107</v>
      </c>
      <c r="C55" s="23">
        <v>45170</v>
      </c>
      <c r="D55" s="23"/>
      <c r="E55" s="23"/>
      <c r="F55" s="11" t="s">
        <v>96</v>
      </c>
      <c r="G55" s="13">
        <v>0</v>
      </c>
      <c r="H55" s="13"/>
      <c r="I55" s="30">
        <v>0</v>
      </c>
      <c r="J55" s="30" t="s">
        <v>84</v>
      </c>
      <c r="K55" s="30"/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X55" s="37">
        <v>0</v>
      </c>
    </row>
    <row r="56" spans="2:24" x14ac:dyDescent="0.2">
      <c r="B56" s="3" t="s">
        <v>108</v>
      </c>
      <c r="C56" s="23">
        <v>45200</v>
      </c>
      <c r="D56" s="23"/>
      <c r="E56" s="23"/>
      <c r="F56" s="14" t="s">
        <v>26</v>
      </c>
      <c r="G56" s="12">
        <v>1000</v>
      </c>
      <c r="H56" s="12"/>
      <c r="I56" s="30">
        <v>2</v>
      </c>
      <c r="J56" s="30" t="s">
        <v>84</v>
      </c>
      <c r="K56" s="30"/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X56" s="37">
        <v>0</v>
      </c>
    </row>
    <row r="57" spans="2:24" x14ac:dyDescent="0.2">
      <c r="B57" s="4" t="s">
        <v>109</v>
      </c>
      <c r="C57" s="23">
        <v>44986</v>
      </c>
      <c r="D57" s="23"/>
      <c r="E57" s="23"/>
      <c r="F57" s="14" t="s">
        <v>26</v>
      </c>
      <c r="G57" s="13">
        <v>400</v>
      </c>
      <c r="H57" s="13"/>
      <c r="I57" s="30">
        <v>6</v>
      </c>
      <c r="J57" s="30" t="s">
        <v>84</v>
      </c>
      <c r="K57" s="30"/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X57" s="37">
        <v>0</v>
      </c>
    </row>
    <row r="58" spans="2:24" x14ac:dyDescent="0.2">
      <c r="B58" s="3" t="s">
        <v>110</v>
      </c>
      <c r="C58" s="23">
        <v>45170</v>
      </c>
      <c r="D58" s="23"/>
      <c r="E58" s="23"/>
      <c r="F58" s="11" t="s">
        <v>26</v>
      </c>
      <c r="G58" s="12">
        <v>700</v>
      </c>
      <c r="H58" s="12"/>
      <c r="I58" s="30">
        <v>1</v>
      </c>
      <c r="J58" s="30" t="s">
        <v>84</v>
      </c>
      <c r="K58" s="30"/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X58" s="37">
        <v>0</v>
      </c>
    </row>
    <row r="59" spans="2:24" x14ac:dyDescent="0.2">
      <c r="B59" s="4" t="s">
        <v>111</v>
      </c>
      <c r="C59" s="23">
        <v>44896</v>
      </c>
      <c r="D59" s="23"/>
      <c r="E59" s="23"/>
      <c r="F59" s="14" t="s">
        <v>96</v>
      </c>
      <c r="G59" s="13">
        <v>400</v>
      </c>
      <c r="H59" s="13"/>
      <c r="I59" s="30">
        <v>10</v>
      </c>
      <c r="J59" s="30" t="s">
        <v>84</v>
      </c>
      <c r="K59" s="30"/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X59" s="37">
        <v>0</v>
      </c>
    </row>
    <row r="60" spans="2:24" x14ac:dyDescent="0.2">
      <c r="B60" s="3" t="s">
        <v>112</v>
      </c>
      <c r="C60" s="23">
        <v>45474</v>
      </c>
      <c r="D60" s="23"/>
      <c r="E60" s="23"/>
      <c r="F60" s="11" t="s">
        <v>94</v>
      </c>
      <c r="G60" s="12">
        <v>400</v>
      </c>
      <c r="H60" s="12"/>
      <c r="I60" s="30">
        <v>5</v>
      </c>
      <c r="J60" s="30" t="s">
        <v>84</v>
      </c>
      <c r="K60" s="30"/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X60" s="37">
        <v>0</v>
      </c>
    </row>
    <row r="61" spans="2:24" x14ac:dyDescent="0.2">
      <c r="B61" s="4" t="s">
        <v>113</v>
      </c>
      <c r="C61" s="23">
        <v>45231</v>
      </c>
      <c r="D61" s="23"/>
      <c r="E61" s="23"/>
      <c r="F61" s="14" t="s">
        <v>26</v>
      </c>
      <c r="G61" s="13">
        <v>1100</v>
      </c>
      <c r="H61" s="13"/>
      <c r="I61" s="30">
        <v>2</v>
      </c>
      <c r="J61" s="30" t="s">
        <v>84</v>
      </c>
      <c r="K61" s="30"/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X61" s="37">
        <v>0</v>
      </c>
    </row>
    <row r="62" spans="2:24" x14ac:dyDescent="0.2">
      <c r="B62" s="4" t="s">
        <v>114</v>
      </c>
      <c r="C62" s="23">
        <v>45323</v>
      </c>
      <c r="D62" s="23"/>
      <c r="E62" s="23"/>
      <c r="F62" s="14" t="s">
        <v>26</v>
      </c>
      <c r="G62" s="13">
        <v>1100</v>
      </c>
      <c r="H62" s="13"/>
      <c r="I62" s="30">
        <v>6</v>
      </c>
      <c r="J62" s="30" t="s">
        <v>84</v>
      </c>
      <c r="K62" s="30"/>
      <c r="L62" s="88"/>
      <c r="M62" s="88">
        <v>0</v>
      </c>
      <c r="N62" s="49">
        <v>1</v>
      </c>
      <c r="O62" s="49">
        <v>1</v>
      </c>
      <c r="P62" s="49">
        <v>0</v>
      </c>
      <c r="Q62" s="49">
        <v>0</v>
      </c>
      <c r="R62" s="49">
        <v>0</v>
      </c>
      <c r="S62" s="88"/>
    </row>
    <row r="63" spans="2:24" x14ac:dyDescent="0.2">
      <c r="B63" s="3" t="s">
        <v>115</v>
      </c>
      <c r="C63" s="23">
        <v>45536</v>
      </c>
      <c r="D63" s="310">
        <v>45553</v>
      </c>
      <c r="E63" s="23"/>
      <c r="F63" s="14" t="s">
        <v>38</v>
      </c>
      <c r="G63" s="12">
        <v>1500</v>
      </c>
      <c r="H63" s="12"/>
      <c r="I63" s="30">
        <v>2</v>
      </c>
      <c r="J63" s="30" t="s">
        <v>84</v>
      </c>
      <c r="K63" s="30"/>
      <c r="L63" s="5"/>
      <c r="M63" s="5"/>
      <c r="N63" s="5"/>
      <c r="O63" s="5"/>
      <c r="P63" s="5"/>
      <c r="Q63" s="52"/>
      <c r="R63" s="52"/>
      <c r="S63" s="52"/>
      <c r="T63" s="5"/>
      <c r="U63" s="5"/>
      <c r="V63" s="5"/>
      <c r="W63" s="5"/>
      <c r="X63" s="53"/>
    </row>
    <row r="64" spans="2:24" x14ac:dyDescent="0.2">
      <c r="B64" s="110" t="s">
        <v>116</v>
      </c>
      <c r="C64" s="23">
        <v>45323</v>
      </c>
      <c r="D64" s="23"/>
      <c r="E64" s="23"/>
      <c r="F64" s="89" t="s">
        <v>26</v>
      </c>
      <c r="G64" s="90">
        <v>900</v>
      </c>
      <c r="H64" s="90"/>
      <c r="I64" s="23"/>
      <c r="J64" s="23" t="s">
        <v>84</v>
      </c>
      <c r="K64" s="23"/>
      <c r="M64" s="49">
        <v>0</v>
      </c>
      <c r="N64" s="49">
        <v>0</v>
      </c>
      <c r="O64" s="49">
        <v>1</v>
      </c>
      <c r="P64" s="49">
        <v>1</v>
      </c>
      <c r="Q64" s="49"/>
      <c r="R64" s="49">
        <v>0</v>
      </c>
      <c r="S64" s="49">
        <v>2</v>
      </c>
      <c r="X64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4</v>
      </c>
    </row>
    <row r="65" spans="1:26" x14ac:dyDescent="0.2">
      <c r="B65" s="4" t="s">
        <v>117</v>
      </c>
      <c r="C65" s="23">
        <v>45413</v>
      </c>
      <c r="D65" s="91"/>
      <c r="E65" s="91"/>
      <c r="F65" s="92" t="s">
        <v>26</v>
      </c>
      <c r="G65" s="12">
        <v>1900</v>
      </c>
      <c r="H65" s="12"/>
      <c r="I65" s="30">
        <v>2</v>
      </c>
      <c r="J65" s="30" t="s">
        <v>84</v>
      </c>
      <c r="K65" s="30"/>
      <c r="M65" t="s">
        <v>118</v>
      </c>
      <c r="P65" s="88"/>
      <c r="Q65" s="88"/>
      <c r="R65" s="49">
        <v>3</v>
      </c>
      <c r="S65" s="49">
        <v>1</v>
      </c>
    </row>
    <row r="66" spans="1:26" x14ac:dyDescent="0.2">
      <c r="B66" s="4" t="s">
        <v>119</v>
      </c>
      <c r="C66" s="23">
        <v>45474</v>
      </c>
      <c r="D66" s="91"/>
      <c r="E66" s="91"/>
      <c r="F66" s="92" t="s">
        <v>120</v>
      </c>
      <c r="G66" s="12">
        <v>1500</v>
      </c>
      <c r="H66" s="12"/>
      <c r="I66" s="30">
        <v>1</v>
      </c>
      <c r="J66" s="30" t="s">
        <v>84</v>
      </c>
      <c r="K66" s="30"/>
      <c r="R66" s="49">
        <v>3</v>
      </c>
      <c r="S66" s="49">
        <v>2</v>
      </c>
      <c r="T66">
        <v>3</v>
      </c>
    </row>
    <row r="67" spans="1:26" x14ac:dyDescent="0.2">
      <c r="B67" s="3" t="s">
        <v>121</v>
      </c>
      <c r="C67" s="23">
        <v>45383</v>
      </c>
      <c r="D67" s="23"/>
      <c r="E67" s="23"/>
      <c r="F67" s="11" t="s">
        <v>120</v>
      </c>
      <c r="G67" s="12">
        <v>1500</v>
      </c>
      <c r="H67" s="12"/>
      <c r="I67" s="30">
        <v>3</v>
      </c>
      <c r="J67" s="30" t="s">
        <v>84</v>
      </c>
      <c r="K67" s="30"/>
      <c r="O67" s="49">
        <v>0</v>
      </c>
      <c r="P67" s="49">
        <v>1</v>
      </c>
      <c r="Q67" s="49">
        <v>3</v>
      </c>
      <c r="R67" s="49">
        <v>2</v>
      </c>
      <c r="S67" s="49">
        <v>2</v>
      </c>
      <c r="T67">
        <v>1</v>
      </c>
      <c r="X67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9</v>
      </c>
    </row>
    <row r="68" spans="1:26" x14ac:dyDescent="0.2">
      <c r="B68" s="4" t="s">
        <v>122</v>
      </c>
      <c r="C68" s="23">
        <v>45444</v>
      </c>
      <c r="D68" s="23"/>
      <c r="E68" s="23"/>
      <c r="F68" s="14" t="s">
        <v>120</v>
      </c>
      <c r="G68" s="13">
        <v>1500</v>
      </c>
      <c r="H68" s="13"/>
      <c r="I68" s="30">
        <v>1</v>
      </c>
      <c r="J68" s="30" t="s">
        <v>84</v>
      </c>
      <c r="K68" s="30"/>
      <c r="Q68" s="49">
        <v>0</v>
      </c>
      <c r="R68" s="49">
        <v>6</v>
      </c>
      <c r="S68" s="49">
        <v>0</v>
      </c>
      <c r="X68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6</v>
      </c>
    </row>
    <row r="69" spans="1:26" x14ac:dyDescent="0.2">
      <c r="B69" s="4" t="s">
        <v>123</v>
      </c>
      <c r="C69" s="42">
        <v>45383</v>
      </c>
      <c r="D69" s="42"/>
      <c r="E69" s="42"/>
      <c r="F69" s="14" t="s">
        <v>120</v>
      </c>
      <c r="G69" s="13">
        <v>500</v>
      </c>
      <c r="H69" s="13"/>
      <c r="I69" s="30">
        <v>3</v>
      </c>
      <c r="J69" s="30" t="s">
        <v>84</v>
      </c>
      <c r="K69" s="30"/>
      <c r="O69" s="49">
        <v>0</v>
      </c>
      <c r="P69" s="49">
        <v>2</v>
      </c>
      <c r="Q69" s="49">
        <v>3</v>
      </c>
      <c r="R69" s="49">
        <v>4</v>
      </c>
      <c r="S69" s="49">
        <v>0</v>
      </c>
      <c r="X69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9</v>
      </c>
    </row>
    <row r="70" spans="1:26" x14ac:dyDescent="0.2">
      <c r="B70" s="4" t="s">
        <v>124</v>
      </c>
      <c r="C70" s="42">
        <v>45383</v>
      </c>
      <c r="D70" s="42"/>
      <c r="E70" s="42"/>
      <c r="F70" s="14" t="s">
        <v>120</v>
      </c>
      <c r="G70" s="13">
        <v>500</v>
      </c>
      <c r="H70" s="13"/>
      <c r="I70" s="30">
        <v>3</v>
      </c>
      <c r="J70" s="23" t="s">
        <v>84</v>
      </c>
      <c r="K70" s="23"/>
      <c r="O70" s="49">
        <v>0</v>
      </c>
      <c r="P70" s="49">
        <v>2</v>
      </c>
      <c r="Q70" s="49">
        <v>1</v>
      </c>
      <c r="R70" s="49">
        <v>1</v>
      </c>
      <c r="S70" s="49">
        <v>0</v>
      </c>
      <c r="X70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4</v>
      </c>
    </row>
    <row r="71" spans="1:26" x14ac:dyDescent="0.2">
      <c r="B71" s="4" t="s">
        <v>125</v>
      </c>
      <c r="C71" s="42">
        <v>45383</v>
      </c>
      <c r="D71" s="42"/>
      <c r="E71" s="42"/>
      <c r="F71" s="14" t="s">
        <v>120</v>
      </c>
      <c r="G71" s="13">
        <v>500</v>
      </c>
      <c r="H71" s="13"/>
      <c r="I71" s="30">
        <v>3</v>
      </c>
      <c r="J71" s="30" t="s">
        <v>84</v>
      </c>
      <c r="K71" s="30"/>
      <c r="O71" s="49">
        <v>0</v>
      </c>
      <c r="P71" s="49">
        <v>1</v>
      </c>
      <c r="Q71" s="49">
        <v>1</v>
      </c>
      <c r="R71" s="49">
        <v>0</v>
      </c>
      <c r="S71" s="49">
        <v>0</v>
      </c>
      <c r="X71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2</v>
      </c>
    </row>
    <row r="72" spans="1:26" x14ac:dyDescent="0.2">
      <c r="B72" s="4" t="s">
        <v>126</v>
      </c>
      <c r="C72" s="42">
        <v>44896</v>
      </c>
      <c r="D72" s="42"/>
      <c r="E72" s="42"/>
      <c r="F72" s="14" t="s">
        <v>31</v>
      </c>
      <c r="G72" s="13">
        <v>650</v>
      </c>
      <c r="H72" s="13"/>
      <c r="I72" s="30">
        <v>20</v>
      </c>
      <c r="J72" s="30" t="s">
        <v>84</v>
      </c>
      <c r="K72" s="30"/>
      <c r="L72" s="49"/>
      <c r="M72" s="49"/>
      <c r="N72" s="49"/>
      <c r="O72" s="49"/>
      <c r="P72" s="49"/>
      <c r="Q72" s="49">
        <v>1</v>
      </c>
      <c r="R72" s="49">
        <v>1</v>
      </c>
      <c r="S72" s="49">
        <v>0</v>
      </c>
      <c r="X72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2</v>
      </c>
    </row>
    <row r="73" spans="1:26" x14ac:dyDescent="0.2">
      <c r="B73" s="3" t="s">
        <v>127</v>
      </c>
      <c r="C73" s="23">
        <v>45170</v>
      </c>
      <c r="D73" s="23"/>
      <c r="E73" s="23"/>
      <c r="F73" s="11" t="s">
        <v>120</v>
      </c>
      <c r="G73" s="12">
        <v>1000</v>
      </c>
      <c r="H73" s="12"/>
      <c r="I73" s="30">
        <v>10</v>
      </c>
      <c r="J73" s="30" t="s">
        <v>84</v>
      </c>
      <c r="K73" s="30"/>
      <c r="L73" s="49">
        <v>2</v>
      </c>
      <c r="M73" s="49">
        <v>3</v>
      </c>
      <c r="N73" s="49">
        <v>2</v>
      </c>
      <c r="O73" s="49">
        <v>1</v>
      </c>
      <c r="P73" s="49">
        <v>1</v>
      </c>
      <c r="Q73" s="49">
        <v>2</v>
      </c>
      <c r="R73" s="49">
        <v>4</v>
      </c>
      <c r="S73" s="49">
        <v>0</v>
      </c>
      <c r="X73" s="37">
        <f>Tabela1[[#This Row],[jan/24]]+Tabela1[[#This Row],[fev/24]]+Tabela1[[#This Row],[mar/24]]+Tabela1[[#This Row],[abr/24]]+Tabela1[[#This Row],[mai/24]]+Tabela1[[#This Row],[jun/24]]+Tabela1[[#This Row],[jul/24]]+Tabela1[[#This Row],[ago/24]]+Tabela1[[#This Row],[set/24]]+Tabela1[[#This Row],[out/24]]+Tabela1[[#This Row],[nov/24]]+Tabela1[[#This Row],[dez/24]]</f>
        <v>15</v>
      </c>
    </row>
    <row r="74" spans="1:26" x14ac:dyDescent="0.2">
      <c r="B74" s="48">
        <v>44</v>
      </c>
      <c r="C74" s="45" t="s">
        <v>128</v>
      </c>
      <c r="D74" s="45"/>
      <c r="E74" s="45"/>
      <c r="F74" s="45" t="s">
        <v>128</v>
      </c>
      <c r="G74" s="50" t="e">
        <f>G40+#REF!+G65+G66+G62+G13+G14+G36+G16+#REF!+#REF!+G73+G67+G68+G69+G70+G71+G33+G42+G72+#REF!+G34+G64+G15+G17+#REF!+G44+G49+G51+G52+G53</f>
        <v>#REF!</v>
      </c>
      <c r="H74" s="50"/>
      <c r="I74" s="51" t="e">
        <f>(I40+#REF!+I65+I66+I62+I13+I14+I36+I16+#REF!+#REF!+I73+I67+I68+I69+I70+I71+I33+I42+I72+#REF!+I34+I64+I15+I17+#REF!)/26</f>
        <v>#REF!</v>
      </c>
      <c r="J74" s="46" t="s">
        <v>128</v>
      </c>
      <c r="K74" s="102"/>
      <c r="L74" s="31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9"/>
    </row>
    <row r="75" spans="1:26" x14ac:dyDescent="0.2">
      <c r="B75" s="66" t="s">
        <v>129</v>
      </c>
      <c r="C75" s="67" t="s">
        <v>128</v>
      </c>
      <c r="D75" s="67"/>
      <c r="E75" s="67"/>
      <c r="F75" s="67" t="s">
        <v>128</v>
      </c>
      <c r="G75" s="68" t="e">
        <f>G40+#REF!+G65+G66+G62+G13+G14+G36+G16+#REF!+#REF!+G73+G67+G68+G69+G70+G71+G33+G42+G72+#REF!+G34+G64+G15+G17+#REF!</f>
        <v>#REF!</v>
      </c>
      <c r="H75" s="68"/>
      <c r="I75" s="69"/>
      <c r="J75" s="69" t="s">
        <v>128</v>
      </c>
      <c r="K75" s="69"/>
      <c r="L75" s="15" t="e">
        <f>L40+#REF!+L65+L66+L62+L13+L14+L36+L16+#REF!+#REF!+L73+L67+L68+L69+L70+L71+L33+L42+L72+#REF!+L34+L64+L15+L17+#REF!+L44+L49+L51+L52+L53</f>
        <v>#REF!</v>
      </c>
      <c r="M75" s="15" t="e">
        <f>M40+#REF!+M65+M66+M62+M13+M14+M36+M16+#REF!+#REF!+M73+M67+M68+M69+M70+M71+M33+M42+M72+#REF!+M34+M64+M15+M17+#REF!+M44+M49+M51+M52+M53</f>
        <v>#REF!</v>
      </c>
      <c r="N75" s="15" t="e">
        <f>N40+#REF!+N65+N66+N62+N13+N14+N36+N16+#REF!+#REF!+N73+N67+N68+N69+N70+N71+N33+N42+N72+#REF!+N34+N64+N15+N17+#REF!+N44+N49+N51+N52+N53</f>
        <v>#REF!</v>
      </c>
      <c r="O75" s="15" t="e">
        <f>O40+#REF!+O65+O66+O62+O13+O14+O36+O16+#REF!+#REF!+O73+O67+O68+O69+O70+O71+O33+O42+O72+#REF!+O34+O64+O15+O17+#REF!+O44+O49+O51+O52+O53</f>
        <v>#REF!</v>
      </c>
      <c r="P75" s="15" t="e">
        <f>P40+#REF!+P65+P66+P62+P13+P14+P36+P16+#REF!+#REF!+P73+P67+P68+P69+P70+P71+P33+P42+P72+#REF!+P34+P64+P15+P17+#REF!+P44+P49+P51+P52+P53</f>
        <v>#REF!</v>
      </c>
      <c r="Q75" s="15" t="e">
        <f>Q40+#REF!+Q65+Q66+Q62+Q13+Q14+Q36+Q16+#REF!+#REF!+Q73+Q67+Q68+Q69+Q70+Q71+Q33+Q42+Q72+#REF!+Q34+Q64+Q15+Q17+#REF!+Q44+Q49+Q51+Q52+Q53</f>
        <v>#REF!</v>
      </c>
      <c r="R75" s="15" t="e">
        <f>R40+#REF!+R65+R66+R62+R13+R14+R36+R16+#REF!+#REF!+R73+R67+R68+R69+R70+R71+R33+R42+R72+#REF!+R34+R64+R15+R17+#REF!+R44+R49+R51+R52+R53</f>
        <v>#REF!</v>
      </c>
      <c r="S75" s="15" t="e">
        <f>S40+#REF!+S65+S66+S62+S13+S14+S36+S16+#REF!+#REF!+S73+S67+S68+S69+S70+S71+S33+S42+S72+#REF!+S34+S64+S15+S17+#REF!+S44+S49+S51+S52+S53</f>
        <v>#REF!</v>
      </c>
      <c r="T75" s="15" t="e">
        <f>T40+#REF!+T65+T66+T62+T13+T14+T36+T16+#REF!+#REF!+T73+T67+T68+T69+T70+T71+T33+T42+T72+#REF!+T34+T64+T15+T17+#REF!+T44+T49+T51+T52+T53</f>
        <v>#REF!</v>
      </c>
      <c r="U75" s="15" t="e">
        <f>U40+#REF!+U65+U66+U62+U13+U14+U36+U16+#REF!+#REF!+U73+U67+U68+U69+U70+U71+U33+U42+U72+#REF!+U34+U64+U15+U17+#REF!+U44+U49+U51+U52+U53</f>
        <v>#REF!</v>
      </c>
      <c r="V75" s="15" t="e">
        <f>V40+#REF!+V65+V66+V62+V13+V14+V36+V16+#REF!+#REF!+V73+V67+V68+V69+V70+V71+V33+V42+V72+#REF!+V34+V64+V15+V17+#REF!+V44+V49+V51+V52+V53</f>
        <v>#REF!</v>
      </c>
      <c r="W75" s="15" t="e">
        <f>W40+#REF!+W65+W66+W62+W13+W14+W36+W16+#REF!+#REF!+W73+W67+W68+W69+W70+W71+W33+W42+W72+#REF!+W34+W64+W15+W17+#REF!+W44+W49+W51+W52+W53</f>
        <v>#REF!</v>
      </c>
      <c r="X75" s="15" t="e">
        <f>X40+#REF!+X65+X66+X62+X13+X14+X36+X16+#REF!+#REF!+X73+X67+X68+X69+X70+X71+X33+X42+X72+#REF!+X34+X64+X15+X17+#REF!+X44+X49+X51+X52+X53</f>
        <v>#REF!</v>
      </c>
    </row>
    <row r="76" spans="1:26" x14ac:dyDescent="0.2">
      <c r="A76" s="44"/>
      <c r="B76" s="24"/>
      <c r="C76" s="26"/>
      <c r="D76" s="26"/>
      <c r="E76" s="26"/>
      <c r="F76" s="26"/>
      <c r="G76" s="25"/>
      <c r="H76" s="25"/>
      <c r="I76" s="16"/>
      <c r="J76" s="17"/>
      <c r="K76" s="43" t="e">
        <f>(L40+#REF!+L65+L66+L62+L13+L14+L36+L16+#REF!+#REF!+L73+L67+L68+L69+L70+L71+L33+L42+L72+#REF!+L34+L64+L15+L17+#REF!+L44+L49+L51+L52+L53)/12</f>
        <v>#REF!</v>
      </c>
      <c r="L76" s="43" t="e">
        <f>(M40+#REF!+M65+M66+M62+M13+M14+M36+M16+#REF!+#REF!+M73+M67+M68+M69+M70+M71+M33+M42+M72+#REF!+M34+M64+M15+M17+#REF!+M44+M49+M51+M52+M53)/14</f>
        <v>#REF!</v>
      </c>
      <c r="M76" s="43" t="e">
        <f>(N40+#REF!+N65+N66+N62+N13+N14+N36+N16+#REF!+#REF!+N73+N67+N68+N69+N70+N71+N33+N42+N72+#REF!+N34+N64+N15+N17+#REF!+N44+N49+N51+N52+N53)/11</f>
        <v>#REF!</v>
      </c>
      <c r="N76" s="43" t="e">
        <f>(O40+#REF!+O65+O66+O62+O13+O14+O36+O16+#REF!+#REF!+O73+O67+O68+O69+O70+O71+O33+O42+O72+#REF!+O34+O64+O15+O17+#REF!+O44+O49+O51+O52+O53)/15</f>
        <v>#REF!</v>
      </c>
      <c r="O76" s="43" t="e">
        <f>(P40+#REF!+P65+P66+P62+P13+P14+P36+P16+#REF!+#REF!+P73+P67+P68+P69+P70+P71+P33+P42+P72+#REF!+P34+P64+P15+P17+#REF!+P44+P49+P51+P52+P53)/16</f>
        <v>#REF!</v>
      </c>
      <c r="P76" s="43" t="e">
        <f>(Q40+#REF!+Q65+Q66+Q62+Q13+Q14+Q36+Q16+#REF!+#REF!+Q73+Q67+Q68+Q69+Q70+Q71+Q33+Q42+Q72+#REF!+Q34+Q64+Q15+Q17+#REF!+Q44+Q49+Q51+Q52+Q53)/22</f>
        <v>#REF!</v>
      </c>
      <c r="Q76" s="43" t="e">
        <f>(R40+#REF!+R65+R66+R62+R13+R14+R36+R16+#REF!+#REF!+R73+R67+R68+R69+R70+R71+R33+R42+R72+#REF!+R34+R64+R15+R17+#REF!+R44+R49+R51+R52+R53)/24</f>
        <v>#REF!</v>
      </c>
      <c r="R76" s="43" t="e">
        <f>(S40+#REF!+S65+S66+S62+S13+S14+S36+S16+#REF!+#REF!+S73+S67+S68+S69+S70+S71+S33+S42+S72+#REF!+S34+S64+S15+S17+#REF!+S44+S49+S51+S52+S53)/23</f>
        <v>#REF!</v>
      </c>
      <c r="S76" s="43" t="e">
        <f>(T40+#REF!+T65+T66+T62+T13+T14+T36+T16+#REF!+#REF!+T73+T67+T68+T69+T70+T71+T33+T42+T72+#REF!+T34+T64+T15+T17+#REF!+T44+T49+T51+T52+T53)/12</f>
        <v>#REF!</v>
      </c>
      <c r="T76" s="43" t="e">
        <f>(U40+#REF!+U65+U66+U62+U13+U14+U36+U16+#REF!+#REF!+U73+U67+U68+U69+U70+U71+U33+U42+U72+#REF!+U34+U64+U15+U17+#REF!+U44+U49+U51+U52+U53)/12</f>
        <v>#REF!</v>
      </c>
      <c r="U76" s="43" t="e">
        <f>(V40+#REF!+V65+V66+V62+V13+V14+V36+V16+#REF!+#REF!+V73+V67+V68+V69+V70+V71+V33+V42+V72+#REF!+V34+V64+V15+V17+#REF!+V44+V49+V51+V52+V53)/12</f>
        <v>#REF!</v>
      </c>
      <c r="V76" s="43" t="e">
        <f>(W40+#REF!+W65+W66+W62+W13+W14+W36+W16+#REF!+#REF!+W73+W67+W68+W69+W70+W71+W33+W42+W72+#REF!+W34+W64+W15+W17+#REF!+W44+W49+W51+W52+W53)/12</f>
        <v>#REF!</v>
      </c>
      <c r="W76" s="43" t="e">
        <f>(X40+#REF!+X65+X66+X62+X13+X14+X36+X16+#REF!+#REF!+X73+X67+X68+X69+X70+X71+X33+X42+X72+#REF!+X34+X64+X15+X17+#REF!+X44+X49+X51+X52+X53)/30</f>
        <v>#REF!</v>
      </c>
      <c r="Z76" t="s">
        <v>130</v>
      </c>
    </row>
    <row r="77" spans="1:26" x14ac:dyDescent="0.2">
      <c r="A77" s="47"/>
      <c r="F77"/>
    </row>
    <row r="78" spans="1:26" x14ac:dyDescent="0.2">
      <c r="A78" s="5"/>
      <c r="F78"/>
    </row>
    <row r="79" spans="1:26" x14ac:dyDescent="0.2">
      <c r="F79"/>
    </row>
    <row r="80" spans="1:26" x14ac:dyDescent="0.2">
      <c r="F80"/>
      <c r="W80" s="41" t="e">
        <f>X40+X13+X14+X16+#REF!+X17+#REF!+X52</f>
        <v>#REF!</v>
      </c>
    </row>
    <row r="81" spans="2:23" x14ac:dyDescent="0.2">
      <c r="F81"/>
      <c r="W81" s="34" t="e">
        <f>#REF!+X65+X62+X36+X33+X42+X15+X49+X53</f>
        <v>#REF!</v>
      </c>
    </row>
    <row r="82" spans="2:23" x14ac:dyDescent="0.2">
      <c r="F82"/>
      <c r="W82" s="41" t="e">
        <f>X36+X16+#REF!+#REF!+X64</f>
        <v>#REF!</v>
      </c>
    </row>
    <row r="83" spans="2:23" x14ac:dyDescent="0.2">
      <c r="F83"/>
      <c r="W83" s="34" t="e">
        <f>X40+X69+X15+#REF!</f>
        <v>#REF!</v>
      </c>
    </row>
    <row r="84" spans="2:23" ht="19" x14ac:dyDescent="0.25">
      <c r="B84" s="284">
        <v>2024</v>
      </c>
      <c r="C84" s="283" t="s">
        <v>131</v>
      </c>
      <c r="F84"/>
      <c r="W84" s="41">
        <v>0</v>
      </c>
    </row>
    <row r="85" spans="2:23" x14ac:dyDescent="0.2">
      <c r="B85" s="279" t="s">
        <v>132</v>
      </c>
      <c r="C85" s="285">
        <f>COUNT(C16,C52,C25)</f>
        <v>3</v>
      </c>
      <c r="F85"/>
      <c r="W85" s="34">
        <v>8</v>
      </c>
    </row>
    <row r="86" spans="2:23" x14ac:dyDescent="0.2">
      <c r="B86" s="279" t="s">
        <v>133</v>
      </c>
      <c r="C86" s="285">
        <f>COUNT(C53,C62,C64)</f>
        <v>3</v>
      </c>
      <c r="F86"/>
      <c r="W86" s="41">
        <v>3</v>
      </c>
    </row>
    <row r="87" spans="2:23" x14ac:dyDescent="0.2">
      <c r="B87" s="279" t="s">
        <v>134</v>
      </c>
      <c r="C87" s="285">
        <v>0</v>
      </c>
      <c r="F87"/>
    </row>
    <row r="88" spans="2:23" x14ac:dyDescent="0.2">
      <c r="B88" s="279" t="s">
        <v>135</v>
      </c>
      <c r="C88" s="285">
        <f>COUNT(C69,C70,C71)</f>
        <v>3</v>
      </c>
      <c r="F88"/>
    </row>
    <row r="89" spans="2:23" x14ac:dyDescent="0.2">
      <c r="B89" s="279" t="s">
        <v>136</v>
      </c>
      <c r="C89" s="285">
        <f>COUNT(C65)</f>
        <v>1</v>
      </c>
      <c r="F89"/>
    </row>
    <row r="90" spans="2:23" x14ac:dyDescent="0.2">
      <c r="B90" s="279" t="s">
        <v>137</v>
      </c>
      <c r="C90" s="285">
        <f>COUNT(C10,C14,C15,C29,C36,C68)</f>
        <v>6</v>
      </c>
      <c r="F90"/>
    </row>
    <row r="91" spans="2:23" x14ac:dyDescent="0.2">
      <c r="B91" s="279" t="s">
        <v>138</v>
      </c>
      <c r="C91" s="285">
        <f>COUNT(C29,C32,C42,C50,C54,C60,C66)</f>
        <v>7</v>
      </c>
      <c r="F91"/>
    </row>
    <row r="92" spans="2:23" x14ac:dyDescent="0.2">
      <c r="B92" s="279" t="s">
        <v>139</v>
      </c>
      <c r="C92" s="285">
        <f>COUNT(C33)</f>
        <v>1</v>
      </c>
      <c r="F92"/>
    </row>
    <row r="93" spans="2:23" x14ac:dyDescent="0.2">
      <c r="B93" s="279" t="s">
        <v>140</v>
      </c>
      <c r="C93" s="285">
        <f>COUNT(C11,C12,C13,C19,C20,C30,C41,C63)</f>
        <v>8</v>
      </c>
      <c r="F93"/>
    </row>
    <row r="94" spans="2:23" x14ac:dyDescent="0.2">
      <c r="B94" s="279" t="s">
        <v>141</v>
      </c>
      <c r="C94" s="285">
        <f>COUNT(C37,C38,C43)</f>
        <v>3</v>
      </c>
      <c r="F94"/>
    </row>
    <row r="95" spans="2:23" x14ac:dyDescent="0.2">
      <c r="B95" s="279" t="s">
        <v>142</v>
      </c>
      <c r="C95" s="285">
        <f>COUNT(C8,C27,C39)</f>
        <v>3</v>
      </c>
      <c r="F95"/>
    </row>
    <row r="96" spans="2:23" x14ac:dyDescent="0.2">
      <c r="B96" s="279" t="s">
        <v>143</v>
      </c>
      <c r="C96" s="285">
        <f>COUNT(C9,C21,C22,C31)</f>
        <v>3</v>
      </c>
      <c r="F96"/>
    </row>
    <row r="97" spans="2:6" x14ac:dyDescent="0.2">
      <c r="F97"/>
    </row>
    <row r="98" spans="2:6" x14ac:dyDescent="0.2">
      <c r="F98"/>
    </row>
    <row r="99" spans="2:6" x14ac:dyDescent="0.2">
      <c r="F99"/>
    </row>
    <row r="100" spans="2:6" ht="19" x14ac:dyDescent="0.25">
      <c r="B100" s="284">
        <v>2024</v>
      </c>
      <c r="C100" s="283" t="s">
        <v>144</v>
      </c>
      <c r="F100"/>
    </row>
    <row r="101" spans="2:6" x14ac:dyDescent="0.2">
      <c r="B101" s="279" t="s">
        <v>132</v>
      </c>
      <c r="C101" s="285">
        <v>0</v>
      </c>
      <c r="F101"/>
    </row>
    <row r="102" spans="2:6" x14ac:dyDescent="0.2">
      <c r="B102" s="279" t="s">
        <v>133</v>
      </c>
      <c r="C102" s="285">
        <v>0</v>
      </c>
      <c r="F102"/>
    </row>
    <row r="103" spans="2:6" x14ac:dyDescent="0.2">
      <c r="B103" s="279" t="s">
        <v>134</v>
      </c>
      <c r="C103" s="285">
        <v>0</v>
      </c>
      <c r="F103"/>
    </row>
    <row r="104" spans="2:6" x14ac:dyDescent="0.2">
      <c r="B104" s="279" t="s">
        <v>135</v>
      </c>
      <c r="C104" s="285">
        <v>0</v>
      </c>
      <c r="F104"/>
    </row>
    <row r="105" spans="2:6" x14ac:dyDescent="0.2">
      <c r="B105" s="279" t="s">
        <v>136</v>
      </c>
      <c r="C105" s="285">
        <v>0</v>
      </c>
      <c r="F105"/>
    </row>
    <row r="106" spans="2:6" x14ac:dyDescent="0.2">
      <c r="B106" s="279" t="s">
        <v>137</v>
      </c>
      <c r="C106" s="285">
        <v>0</v>
      </c>
      <c r="F106"/>
    </row>
    <row r="107" spans="2:6" x14ac:dyDescent="0.2">
      <c r="B107" s="279" t="s">
        <v>138</v>
      </c>
      <c r="C107" s="285">
        <v>0</v>
      </c>
      <c r="F107"/>
    </row>
    <row r="108" spans="2:6" x14ac:dyDescent="0.2">
      <c r="B108" s="279" t="s">
        <v>139</v>
      </c>
      <c r="C108" s="285">
        <v>0</v>
      </c>
      <c r="F108"/>
    </row>
    <row r="109" spans="2:6" x14ac:dyDescent="0.2">
      <c r="B109" s="279" t="s">
        <v>140</v>
      </c>
      <c r="C109" s="285">
        <f>COUNT(E32,E34)</f>
        <v>2</v>
      </c>
      <c r="F109"/>
    </row>
    <row r="110" spans="2:6" x14ac:dyDescent="0.2">
      <c r="B110" s="279" t="s">
        <v>141</v>
      </c>
      <c r="C110" s="285">
        <f>COUNT(E30)</f>
        <v>1</v>
      </c>
      <c r="F110"/>
    </row>
    <row r="111" spans="2:6" x14ac:dyDescent="0.2">
      <c r="B111" s="279" t="s">
        <v>142</v>
      </c>
      <c r="C111" s="28">
        <f>COUNT(E29,E36,E40,E41,E42,E43)</f>
        <v>6</v>
      </c>
    </row>
    <row r="112" spans="2:6" x14ac:dyDescent="0.2">
      <c r="B112" s="279" t="s">
        <v>143</v>
      </c>
      <c r="C112" s="285">
        <f>COUNT(E39,E38,E37,E31)</f>
        <v>4</v>
      </c>
    </row>
  </sheetData>
  <mergeCells count="2">
    <mergeCell ref="B2:J5"/>
    <mergeCell ref="K6:V6"/>
  </mergeCells>
  <phoneticPr fontId="2" type="noConversion"/>
  <conditionalFormatting sqref="L25:S2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{5151EA41-5C47-B041-927B-A086FC015EFD}</x14:id>
        </ext>
      </extLst>
    </cfRule>
  </conditionalFormatting>
  <conditionalFormatting sqref="L32:S3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{A344052F-8482-7A42-9D84-68F93173BCD8}</x14:id>
        </ext>
      </extLst>
    </cfRule>
  </conditionalFormatting>
  <conditionalFormatting sqref="L39:S39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{6851274F-7D34-4740-8A1B-4558B0C4AE31}</x14:id>
        </ext>
      </extLst>
    </cfRule>
  </conditionalFormatting>
  <conditionalFormatting sqref="L18:X1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{87C627F1-2EC2-DF43-A8FE-15EE572064A1}</x14:id>
        </ext>
      </extLst>
    </cfRule>
  </conditionalFormatting>
  <conditionalFormatting sqref="L37:X3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{027ED034-8879-DF47-BC15-7AE3BEFB3C85}</x14:id>
        </ext>
      </extLst>
    </cfRule>
  </conditionalFormatting>
  <conditionalFormatting sqref="L38:X3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{C08B52E2-59F5-2949-A5EC-AF661A291AC0}</x14:id>
        </ext>
      </extLst>
    </cfRule>
  </conditionalFormatting>
  <conditionalFormatting sqref="L41:X41 L62:X62 L19:S22 L67:S73 L12:S17 L33:S36 L42:S42 L44:S61 L63:S64 L65:X66 L40:S40 L28:S30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{BCBD55B5-16DC-485B-B196-6BA3AC40F9F8}</x14:id>
        </ext>
      </extLst>
    </cfRule>
  </conditionalFormatting>
  <conditionalFormatting sqref="L43:X43 L27:X27 L31:X31 L23:X24 L8:X11">
    <cfRule type="dataBar" priority="3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{77F7332C-DA53-0441-A83E-E3CA35D89C21}</x14:id>
        </ext>
      </extLst>
    </cfRule>
  </conditionalFormatting>
  <conditionalFormatting sqref="W80:W84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{234A8464-395E-4B12-98BA-F5FD1D44F562}</x14:id>
        </ext>
      </extLst>
    </cfRule>
  </conditionalFormatting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151EA41-5C47-B041-927B-A086FC015EF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L25:S26</xm:sqref>
        </x14:conditionalFormatting>
        <x14:conditionalFormatting xmlns:xm="http://schemas.microsoft.com/office/excel/2006/main">
          <x14:cfRule type="dataBar" id="{A344052F-8482-7A42-9D84-68F93173BC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L32:S32</xm:sqref>
        </x14:conditionalFormatting>
        <x14:conditionalFormatting xmlns:xm="http://schemas.microsoft.com/office/excel/2006/main">
          <x14:cfRule type="dataBar" id="{6851274F-7D34-4740-8A1B-4558B0C4AE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L39:S39</xm:sqref>
        </x14:conditionalFormatting>
        <x14:conditionalFormatting xmlns:xm="http://schemas.microsoft.com/office/excel/2006/main">
          <x14:cfRule type="dataBar" id="{87C627F1-2EC2-DF43-A8FE-15EE572064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L18:X18</xm:sqref>
        </x14:conditionalFormatting>
        <x14:conditionalFormatting xmlns:xm="http://schemas.microsoft.com/office/excel/2006/main">
          <x14:cfRule type="dataBar" id="{027ED034-8879-DF47-BC15-7AE3BEFB3C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L37:X37</xm:sqref>
        </x14:conditionalFormatting>
        <x14:conditionalFormatting xmlns:xm="http://schemas.microsoft.com/office/excel/2006/main">
          <x14:cfRule type="dataBar" id="{C08B52E2-59F5-2949-A5EC-AF661A291A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L38:X38</xm:sqref>
        </x14:conditionalFormatting>
        <x14:conditionalFormatting xmlns:xm="http://schemas.microsoft.com/office/excel/2006/main">
          <x14:cfRule type="dataBar" id="{BCBD55B5-16DC-485B-B196-6BA3AC40F9F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L41:X41 L62:X62 L19:S22 L67:S73 L12:S17 L33:S36 L42:S42 L44:S61 L63:S64 L65:X66 L40:S40 L28:S30</xm:sqref>
        </x14:conditionalFormatting>
        <x14:conditionalFormatting xmlns:xm="http://schemas.microsoft.com/office/excel/2006/main">
          <x14:cfRule type="dataBar" id="{77F7332C-DA53-0441-A83E-E3CA35D89C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L43:X43 L27:X27 L31:X31 L23:X24 L8:X11</xm:sqref>
        </x14:conditionalFormatting>
        <x14:conditionalFormatting xmlns:xm="http://schemas.microsoft.com/office/excel/2006/main">
          <x14:cfRule type="dataBar" id="{234A8464-395E-4B12-98BA-F5FD1D44F5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W80:W84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B064E-1F00-7643-91B5-CBC106F38880}">
  <dimension ref="A1:Y95"/>
  <sheetViews>
    <sheetView topLeftCell="F54" workbookViewId="0">
      <selection activeCell="F37" sqref="F37"/>
    </sheetView>
  </sheetViews>
  <sheetFormatPr baseColWidth="10" defaultColWidth="8.6640625" defaultRowHeight="15" x14ac:dyDescent="0.2"/>
  <cols>
    <col min="2" max="2" width="23.5" customWidth="1"/>
    <col min="3" max="3" width="15.6640625" customWidth="1"/>
    <col min="4" max="4" width="26.1640625" bestFit="1" customWidth="1"/>
    <col min="5" max="6" width="27.33203125" customWidth="1"/>
    <col min="7" max="7" width="18.33203125" style="1" customWidth="1"/>
    <col min="8" max="9" width="23.5" customWidth="1"/>
    <col min="10" max="10" width="15.1640625" customWidth="1"/>
    <col min="11" max="11" width="20.1640625" customWidth="1"/>
    <col min="12" max="12" width="49.5" customWidth="1"/>
    <col min="13" max="13" width="9" bestFit="1" customWidth="1"/>
    <col min="14" max="14" width="9.1640625" customWidth="1"/>
    <col min="22" max="22" width="9" customWidth="1"/>
  </cols>
  <sheetData>
    <row r="1" spans="1:25" ht="16" thickBot="1" x14ac:dyDescent="0.25">
      <c r="G1" s="232"/>
    </row>
    <row r="2" spans="1:25" x14ac:dyDescent="0.2">
      <c r="B2" s="360"/>
      <c r="C2" s="362"/>
      <c r="D2" s="362"/>
      <c r="E2" s="362"/>
      <c r="F2" s="362"/>
      <c r="G2" s="362"/>
      <c r="H2" s="362"/>
      <c r="I2" s="362"/>
      <c r="J2" s="362"/>
      <c r="K2" s="363"/>
      <c r="P2" s="133"/>
    </row>
    <row r="3" spans="1:25" x14ac:dyDescent="0.2">
      <c r="B3" s="364"/>
      <c r="C3" s="365"/>
      <c r="D3" s="365"/>
      <c r="E3" s="365"/>
      <c r="F3" s="365"/>
      <c r="G3" s="365"/>
      <c r="H3" s="365"/>
      <c r="I3" s="365"/>
      <c r="J3" s="365"/>
      <c r="K3" s="366"/>
    </row>
    <row r="4" spans="1:25" ht="31.25" customHeight="1" x14ac:dyDescent="0.2">
      <c r="B4" s="364"/>
      <c r="C4" s="365"/>
      <c r="D4" s="365"/>
      <c r="E4" s="365"/>
      <c r="F4" s="365"/>
      <c r="G4" s="365"/>
      <c r="H4" s="365"/>
      <c r="I4" s="365"/>
      <c r="J4" s="365"/>
      <c r="K4" s="366"/>
      <c r="L4" s="133">
        <v>0.05</v>
      </c>
      <c r="N4" s="133"/>
    </row>
    <row r="5" spans="1:25" ht="17" thickBot="1" x14ac:dyDescent="0.25">
      <c r="B5" s="367"/>
      <c r="C5" s="368"/>
      <c r="D5" s="368"/>
      <c r="E5" s="368"/>
      <c r="F5" s="368"/>
      <c r="G5" s="368"/>
      <c r="H5" s="368"/>
      <c r="I5" s="368"/>
      <c r="J5" s="368"/>
      <c r="K5" s="369"/>
      <c r="L5" s="35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 spans="1:25" x14ac:dyDescent="0.2">
      <c r="B6" s="27"/>
      <c r="C6" s="28"/>
      <c r="D6" s="28"/>
      <c r="E6" s="28"/>
      <c r="F6" s="28"/>
      <c r="G6" s="28"/>
      <c r="H6" s="28"/>
      <c r="I6" s="28"/>
      <c r="J6" s="28"/>
      <c r="K6" s="28"/>
      <c r="L6" s="370" t="s">
        <v>0</v>
      </c>
      <c r="M6" s="371"/>
      <c r="N6" s="371"/>
      <c r="O6" s="371"/>
      <c r="P6" s="371"/>
      <c r="Q6" s="371"/>
      <c r="R6" s="371"/>
      <c r="S6" s="371"/>
      <c r="T6" s="371"/>
      <c r="U6" s="371"/>
      <c r="V6" s="371"/>
      <c r="W6" s="371"/>
      <c r="X6" s="371"/>
      <c r="Y6" s="371"/>
    </row>
    <row r="7" spans="1:25" x14ac:dyDescent="0.2">
      <c r="B7" s="200" t="s">
        <v>1</v>
      </c>
      <c r="C7" s="201" t="s">
        <v>2</v>
      </c>
      <c r="D7" s="201" t="s">
        <v>145</v>
      </c>
      <c r="E7" s="201" t="s">
        <v>146</v>
      </c>
      <c r="F7" s="201" t="s">
        <v>147</v>
      </c>
      <c r="G7" s="202" t="s">
        <v>5</v>
      </c>
      <c r="H7" s="202" t="s">
        <v>6</v>
      </c>
      <c r="I7" s="202" t="s">
        <v>7</v>
      </c>
      <c r="J7" s="203" t="s">
        <v>8</v>
      </c>
      <c r="K7" s="208" t="s">
        <v>9</v>
      </c>
      <c r="L7" s="204" t="s">
        <v>10</v>
      </c>
      <c r="M7" s="205" t="s">
        <v>11</v>
      </c>
      <c r="N7" s="205" t="s">
        <v>12</v>
      </c>
      <c r="O7" s="205" t="s">
        <v>13</v>
      </c>
      <c r="P7" s="205" t="s">
        <v>14</v>
      </c>
      <c r="Q7" s="205" t="s">
        <v>15</v>
      </c>
      <c r="R7" s="205" t="s">
        <v>16</v>
      </c>
      <c r="S7" s="205" t="s">
        <v>17</v>
      </c>
      <c r="T7" s="205" t="s">
        <v>18</v>
      </c>
      <c r="U7" s="205" t="s">
        <v>19</v>
      </c>
      <c r="V7" s="205" t="s">
        <v>20</v>
      </c>
      <c r="W7" s="205" t="s">
        <v>21</v>
      </c>
      <c r="X7" s="206" t="s">
        <v>22</v>
      </c>
      <c r="Y7" s="207" t="s">
        <v>23</v>
      </c>
    </row>
    <row r="8" spans="1:25" ht="16" x14ac:dyDescent="0.2">
      <c r="A8" s="113"/>
      <c r="B8" s="71" t="s">
        <v>29</v>
      </c>
      <c r="C8" s="21" t="s">
        <v>148</v>
      </c>
      <c r="D8" s="233">
        <v>45627</v>
      </c>
      <c r="E8" s="233">
        <f t="shared" ref="E8:E25" ca="1" si="0">TODAY()</f>
        <v>46171</v>
      </c>
      <c r="F8" s="234">
        <f ca="1">DATEDIF(Tabela153[[#This Row],[Data entrada]],Tabela153[[#This Row],[Data 2]], "M")</f>
        <v>17</v>
      </c>
      <c r="G8" s="132" t="s">
        <v>31</v>
      </c>
      <c r="H8" s="10">
        <v>1400</v>
      </c>
      <c r="I8" s="135" t="s">
        <v>27</v>
      </c>
      <c r="J8" s="81">
        <v>1</v>
      </c>
      <c r="K8" s="83" t="s">
        <v>28</v>
      </c>
      <c r="L8" s="87"/>
    </row>
    <row r="9" spans="1:25" ht="16" x14ac:dyDescent="0.2">
      <c r="A9" s="113"/>
      <c r="B9" s="107" t="s">
        <v>44</v>
      </c>
      <c r="C9" s="21" t="s">
        <v>149</v>
      </c>
      <c r="D9" s="236">
        <v>45444</v>
      </c>
      <c r="E9" s="233">
        <f t="shared" ca="1" si="0"/>
        <v>46171</v>
      </c>
      <c r="F9" s="234">
        <f ca="1">DATEDIF(Tabela153[[#This Row],[Data entrada]],Tabela153[[#This Row],[Data 2]], "M")</f>
        <v>23</v>
      </c>
      <c r="G9" s="9" t="s">
        <v>43</v>
      </c>
      <c r="H9" s="10">
        <v>1100</v>
      </c>
      <c r="I9" s="135" t="s">
        <v>27</v>
      </c>
      <c r="J9" s="29">
        <v>1</v>
      </c>
      <c r="K9" s="83" t="s">
        <v>28</v>
      </c>
      <c r="L9" s="29"/>
    </row>
    <row r="10" spans="1:25" ht="16" x14ac:dyDescent="0.2">
      <c r="A10" s="113"/>
      <c r="B10" s="107" t="s">
        <v>51</v>
      </c>
      <c r="C10" s="21" t="s">
        <v>150</v>
      </c>
      <c r="D10" s="236">
        <v>45350</v>
      </c>
      <c r="E10" s="235">
        <f t="shared" ca="1" si="0"/>
        <v>46171</v>
      </c>
      <c r="F10" s="234">
        <f ca="1">DATEDIF(Tabela153[[#This Row],[Data entrada]],Tabela153[[#This Row],[Data 2]], "M")</f>
        <v>27</v>
      </c>
      <c r="G10" s="9" t="s">
        <v>43</v>
      </c>
      <c r="H10" s="10">
        <v>1500</v>
      </c>
      <c r="I10" s="135" t="s">
        <v>27</v>
      </c>
      <c r="J10" s="29">
        <v>6</v>
      </c>
      <c r="K10" s="83" t="s">
        <v>28</v>
      </c>
      <c r="L10" s="29"/>
    </row>
    <row r="11" spans="1:25" ht="16" x14ac:dyDescent="0.2">
      <c r="A11" s="113"/>
      <c r="B11" s="107" t="s">
        <v>55</v>
      </c>
      <c r="C11" s="21" t="s">
        <v>151</v>
      </c>
      <c r="D11" s="236">
        <v>45536</v>
      </c>
      <c r="E11" s="235">
        <f t="shared" ca="1" si="0"/>
        <v>46171</v>
      </c>
      <c r="F11" s="234"/>
      <c r="G11" s="9" t="s">
        <v>31</v>
      </c>
      <c r="H11" s="10">
        <v>1200</v>
      </c>
      <c r="I11" s="135" t="s">
        <v>27</v>
      </c>
      <c r="J11" s="29">
        <v>1</v>
      </c>
      <c r="K11" s="83" t="s">
        <v>28</v>
      </c>
      <c r="L11" s="29"/>
    </row>
    <row r="12" spans="1:25" ht="16" x14ac:dyDescent="0.2">
      <c r="A12" s="113"/>
      <c r="B12" s="107" t="s">
        <v>56</v>
      </c>
      <c r="C12" s="21" t="s">
        <v>151</v>
      </c>
      <c r="D12" s="236">
        <v>45536</v>
      </c>
      <c r="E12" s="233">
        <f t="shared" ca="1" si="0"/>
        <v>46171</v>
      </c>
      <c r="F12" s="234"/>
      <c r="G12" s="9" t="s">
        <v>152</v>
      </c>
      <c r="H12" s="10">
        <v>1200</v>
      </c>
      <c r="I12" s="135" t="s">
        <v>27</v>
      </c>
      <c r="J12" s="29">
        <v>1</v>
      </c>
      <c r="K12" s="83" t="s">
        <v>28</v>
      </c>
      <c r="L12" s="29"/>
    </row>
    <row r="13" spans="1:25" x14ac:dyDescent="0.2">
      <c r="A13" s="113"/>
      <c r="B13" s="71" t="s">
        <v>63</v>
      </c>
      <c r="C13" s="21" t="s">
        <v>153</v>
      </c>
      <c r="D13" s="236">
        <v>45664</v>
      </c>
      <c r="E13" s="233">
        <f t="shared" ca="1" si="0"/>
        <v>46171</v>
      </c>
      <c r="F13" s="234">
        <f ca="1">DATEDIF(Tabela153[[#This Row],[Data entrada]],Tabela153[[#This Row],[Data 2]], "M")</f>
        <v>16</v>
      </c>
      <c r="G13" s="7" t="s">
        <v>38</v>
      </c>
      <c r="H13" s="8">
        <v>1900</v>
      </c>
      <c r="I13" s="136">
        <v>0.05</v>
      </c>
      <c r="J13" s="29">
        <v>1</v>
      </c>
      <c r="K13" s="83" t="s">
        <v>28</v>
      </c>
      <c r="L13" s="29"/>
    </row>
    <row r="14" spans="1:25" s="38" customFormat="1" ht="16" x14ac:dyDescent="0.2">
      <c r="A14" s="114"/>
      <c r="B14" s="107" t="s">
        <v>66</v>
      </c>
      <c r="C14" s="22" t="s">
        <v>154</v>
      </c>
      <c r="D14" s="233">
        <v>45292</v>
      </c>
      <c r="E14" s="235">
        <f t="shared" ca="1" si="0"/>
        <v>46171</v>
      </c>
      <c r="F14" s="234">
        <f ca="1">DATEDIF(Tabela153[[#This Row],[Data entrada]],Tabela153[[#This Row],[Data 2]], "M")</f>
        <v>28</v>
      </c>
      <c r="G14" s="9" t="s">
        <v>43</v>
      </c>
      <c r="H14" s="10">
        <v>1100</v>
      </c>
      <c r="I14" s="135" t="s">
        <v>27</v>
      </c>
      <c r="J14" s="29">
        <v>3</v>
      </c>
      <c r="K14" s="83" t="s">
        <v>28</v>
      </c>
      <c r="L14" s="29"/>
      <c r="M14"/>
      <c r="N14"/>
      <c r="O14"/>
      <c r="P14"/>
      <c r="Q14"/>
      <c r="R14"/>
      <c r="S14"/>
      <c r="T14"/>
      <c r="U14"/>
      <c r="V14"/>
      <c r="W14"/>
      <c r="X14"/>
      <c r="Y14"/>
    </row>
    <row r="15" spans="1:25" s="38" customFormat="1" x14ac:dyDescent="0.2">
      <c r="A15" s="114"/>
      <c r="B15" s="71" t="s">
        <v>68</v>
      </c>
      <c r="C15" s="22" t="s">
        <v>153</v>
      </c>
      <c r="D15" s="236">
        <v>45677</v>
      </c>
      <c r="E15" s="233">
        <f t="shared" ca="1" si="0"/>
        <v>46171</v>
      </c>
      <c r="F15" s="234">
        <f ca="1">DATEDIF(Tabela153[[#This Row],[Data entrada]],Tabela153[[#This Row],[Data 2]], "M")</f>
        <v>16</v>
      </c>
      <c r="G15" s="7" t="s">
        <v>43</v>
      </c>
      <c r="H15" s="8">
        <v>1900</v>
      </c>
      <c r="I15" s="136">
        <v>0.05</v>
      </c>
      <c r="J15" s="29">
        <v>12</v>
      </c>
      <c r="K15" s="83" t="s">
        <v>28</v>
      </c>
      <c r="L15" s="29"/>
      <c r="M15"/>
      <c r="N15"/>
      <c r="O15"/>
      <c r="P15"/>
      <c r="Q15"/>
      <c r="R15"/>
      <c r="S15"/>
      <c r="T15"/>
      <c r="U15"/>
      <c r="V15"/>
      <c r="W15"/>
      <c r="X15"/>
      <c r="Y15"/>
    </row>
    <row r="16" spans="1:25" s="38" customFormat="1" x14ac:dyDescent="0.2">
      <c r="A16" s="114"/>
      <c r="B16" s="71" t="s">
        <v>155</v>
      </c>
      <c r="C16" s="22" t="s">
        <v>156</v>
      </c>
      <c r="D16" s="236">
        <v>45694</v>
      </c>
      <c r="E16" s="235">
        <f t="shared" ca="1" si="0"/>
        <v>46171</v>
      </c>
      <c r="F16" s="234">
        <f ca="1">DATEDIF(Tabela153[[#This Row],[Data entrada]],Tabela153[[#This Row],[Data 2]], "M")</f>
        <v>15</v>
      </c>
      <c r="G16" s="7" t="s">
        <v>152</v>
      </c>
      <c r="H16" s="8">
        <v>1500</v>
      </c>
      <c r="I16" s="136"/>
      <c r="J16" s="29"/>
      <c r="K16" s="83" t="s">
        <v>28</v>
      </c>
      <c r="L16" s="29"/>
      <c r="M16"/>
      <c r="N16"/>
      <c r="O16"/>
      <c r="P16"/>
      <c r="Q16"/>
      <c r="R16"/>
      <c r="S16"/>
      <c r="T16"/>
      <c r="U16"/>
      <c r="V16"/>
      <c r="W16"/>
      <c r="X16"/>
      <c r="Y16"/>
    </row>
    <row r="17" spans="1:25" s="38" customFormat="1" x14ac:dyDescent="0.2">
      <c r="A17" s="114"/>
      <c r="B17" s="71" t="s">
        <v>157</v>
      </c>
      <c r="C17" s="22" t="s">
        <v>158</v>
      </c>
      <c r="D17" s="236">
        <v>45719</v>
      </c>
      <c r="E17" s="233">
        <f t="shared" ca="1" si="0"/>
        <v>46171</v>
      </c>
      <c r="F17" s="234">
        <f ca="1">DATEDIF(Tabela153[[#This Row],[Data entrada]],Tabela153[[#This Row],[Data 2]], "M")</f>
        <v>14</v>
      </c>
      <c r="G17" s="7" t="s">
        <v>38</v>
      </c>
      <c r="H17" s="8">
        <v>1900</v>
      </c>
      <c r="I17" s="136">
        <v>0.05</v>
      </c>
      <c r="J17" s="29"/>
      <c r="K17" s="83" t="s">
        <v>28</v>
      </c>
      <c r="L17" s="29"/>
      <c r="M17" s="52">
        <f>COUNTIFS('Reuniões 2025'!I:I, B17)</f>
        <v>52</v>
      </c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>
        <f>COUNTIFS('Reuniões 2025'!I:I, B17)</f>
        <v>52</v>
      </c>
    </row>
    <row r="18" spans="1:25" s="38" customFormat="1" x14ac:dyDescent="0.2">
      <c r="A18" s="114"/>
      <c r="B18" s="71" t="s">
        <v>159</v>
      </c>
      <c r="C18" s="22" t="s">
        <v>158</v>
      </c>
      <c r="D18" s="236">
        <v>45721</v>
      </c>
      <c r="E18" s="235">
        <f t="shared" ca="1" si="0"/>
        <v>46171</v>
      </c>
      <c r="F18" s="234">
        <f ca="1">DATEDIF(Tabela153[[#This Row],[Data entrada]],Tabela153[[#This Row],[Data 2]], "M")</f>
        <v>14</v>
      </c>
      <c r="G18" s="7" t="s">
        <v>38</v>
      </c>
      <c r="H18" s="8">
        <v>1500</v>
      </c>
      <c r="I18" s="8"/>
      <c r="J18" s="29"/>
      <c r="K18" s="83" t="s">
        <v>28</v>
      </c>
      <c r="L18" s="29"/>
      <c r="M18" s="52">
        <f>COUNTIFS('Reuniões 2025'!I:I, B18)</f>
        <v>18</v>
      </c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>
        <f>COUNTIFS('Reuniões 2025'!I:I, B18)</f>
        <v>18</v>
      </c>
    </row>
    <row r="19" spans="1:25" s="38" customFormat="1" x14ac:dyDescent="0.2">
      <c r="A19" s="114"/>
      <c r="B19" s="71" t="s">
        <v>160</v>
      </c>
      <c r="C19" s="22" t="s">
        <v>158</v>
      </c>
      <c r="D19" s="236">
        <v>45729</v>
      </c>
      <c r="E19" s="233">
        <f t="shared" ca="1" si="0"/>
        <v>46171</v>
      </c>
      <c r="F19" s="234">
        <f ca="1">DATEDIF(Tabela153[[#This Row],[Data entrada]],Tabela153[[#This Row],[Data 2]], "M")</f>
        <v>14</v>
      </c>
      <c r="G19" s="7" t="s">
        <v>161</v>
      </c>
      <c r="H19" s="8">
        <v>1900</v>
      </c>
      <c r="I19" s="136">
        <v>0.05</v>
      </c>
      <c r="J19" s="29"/>
      <c r="K19" s="83" t="s">
        <v>28</v>
      </c>
      <c r="L19" s="30"/>
      <c r="M19" s="52">
        <f>COUNTIFS('Reuniões 2025'!I:I, B19)</f>
        <v>0</v>
      </c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>
        <f>COUNTIFS('Reuniões 2025'!I:I, B19)</f>
        <v>0</v>
      </c>
    </row>
    <row r="20" spans="1:25" s="38" customFormat="1" x14ac:dyDescent="0.2">
      <c r="A20" s="114"/>
      <c r="B20" s="71" t="s">
        <v>162</v>
      </c>
      <c r="C20" s="22" t="s">
        <v>158</v>
      </c>
      <c r="D20" s="236">
        <v>45720</v>
      </c>
      <c r="E20" s="235">
        <f t="shared" ca="1" si="0"/>
        <v>46171</v>
      </c>
      <c r="F20" s="234">
        <f ca="1">DATEDIF(Tabela153[[#This Row],[Data entrada]],Tabela153[[#This Row],[Data 2]], "M")</f>
        <v>14</v>
      </c>
      <c r="G20" s="7" t="s">
        <v>31</v>
      </c>
      <c r="H20" s="8">
        <v>1300</v>
      </c>
      <c r="I20" s="136">
        <v>6.5000000000000002E-2</v>
      </c>
      <c r="J20" s="29"/>
      <c r="K20" s="83" t="s">
        <v>28</v>
      </c>
      <c r="L20" s="30"/>
      <c r="M20" s="52">
        <f>COUNTIFS('Reuniões 2025'!I:I, B20)</f>
        <v>18</v>
      </c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>
        <f>COUNTIFS('Reuniões 2025'!I:I, B20)</f>
        <v>18</v>
      </c>
    </row>
    <row r="21" spans="1:25" s="38" customFormat="1" x14ac:dyDescent="0.2">
      <c r="A21" s="114"/>
      <c r="B21" s="107" t="s">
        <v>163</v>
      </c>
      <c r="C21" s="22" t="s">
        <v>164</v>
      </c>
      <c r="D21" s="236">
        <v>45754</v>
      </c>
      <c r="E21" s="233">
        <f t="shared" ca="1" si="0"/>
        <v>46171</v>
      </c>
      <c r="F21" s="234">
        <f ca="1">DATEDIF(Tabela153[[#This Row],[Data entrada]],Tabela153[[#This Row],[Data 2]], "M")</f>
        <v>13</v>
      </c>
      <c r="G21" s="7" t="s">
        <v>31</v>
      </c>
      <c r="H21" s="8">
        <v>1250</v>
      </c>
      <c r="I21" s="136">
        <v>0.05</v>
      </c>
      <c r="J21" s="29"/>
      <c r="K21" s="87" t="s">
        <v>32</v>
      </c>
      <c r="L21" s="29"/>
      <c r="M21" s="52">
        <f>COUNTIFS('Reuniões 2025'!I:I, B21)</f>
        <v>18</v>
      </c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>
        <f>COUNTIFS('Reuniões 2025'!I:I, B21)</f>
        <v>18</v>
      </c>
    </row>
    <row r="22" spans="1:25" s="38" customFormat="1" x14ac:dyDescent="0.2">
      <c r="A22" s="114"/>
      <c r="B22" s="107" t="s">
        <v>165</v>
      </c>
      <c r="C22" s="22" t="s">
        <v>164</v>
      </c>
      <c r="D22" s="236">
        <v>45754</v>
      </c>
      <c r="E22" s="233">
        <f t="shared" ca="1" si="0"/>
        <v>46171</v>
      </c>
      <c r="F22" s="234">
        <f ca="1">DATEDIF(Tabela153[[#This Row],[Data entrada]],Tabela153[[#This Row],[Data 2]], "M")</f>
        <v>13</v>
      </c>
      <c r="G22" s="7" t="s">
        <v>161</v>
      </c>
      <c r="H22" s="8">
        <v>1250</v>
      </c>
      <c r="I22" s="136">
        <v>0.05</v>
      </c>
      <c r="J22" s="29"/>
      <c r="K22" s="87" t="s">
        <v>28</v>
      </c>
      <c r="L22" s="29"/>
      <c r="M22" s="52">
        <f>COUNTIFS('Reuniões 2025'!I:I, B22)</f>
        <v>17</v>
      </c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>
        <f>COUNTIFS('Reuniões 2025'!I:I, B22)</f>
        <v>17</v>
      </c>
    </row>
    <row r="23" spans="1:25" s="38" customFormat="1" x14ac:dyDescent="0.2">
      <c r="A23" s="114"/>
      <c r="B23" s="107" t="s">
        <v>166</v>
      </c>
      <c r="C23" s="22" t="s">
        <v>164</v>
      </c>
      <c r="D23" s="236">
        <v>45751</v>
      </c>
      <c r="E23" s="233">
        <f t="shared" ca="1" si="0"/>
        <v>46171</v>
      </c>
      <c r="F23" s="234">
        <f ca="1">DATEDIF(Tabela153[[#This Row],[Data entrada]],Tabela153[[#This Row],[Data 2]], "M")</f>
        <v>13</v>
      </c>
      <c r="G23" s="7" t="s">
        <v>38</v>
      </c>
      <c r="H23" s="8">
        <v>1900</v>
      </c>
      <c r="I23" s="136">
        <v>0.05</v>
      </c>
      <c r="J23" s="29"/>
      <c r="K23" s="87" t="s">
        <v>32</v>
      </c>
      <c r="L23" s="29"/>
      <c r="M23" s="52">
        <f>COUNTIFS('Reuniões 2025'!I:I, B23)</f>
        <v>0</v>
      </c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>
        <f>COUNTIFS('Reuniões 2025'!I:I, B23)</f>
        <v>0</v>
      </c>
    </row>
    <row r="24" spans="1:25" s="38" customFormat="1" x14ac:dyDescent="0.2">
      <c r="A24" s="114"/>
      <c r="B24" s="107" t="s">
        <v>167</v>
      </c>
      <c r="C24" s="22" t="s">
        <v>164</v>
      </c>
      <c r="D24" s="236">
        <v>45751</v>
      </c>
      <c r="E24" s="233">
        <f t="shared" ca="1" si="0"/>
        <v>46171</v>
      </c>
      <c r="F24" s="234">
        <f ca="1">DATEDIF(Tabela153[[#This Row],[Data entrada]],Tabela153[[#This Row],[Data 2]], "M")</f>
        <v>13</v>
      </c>
      <c r="G24" s="7" t="s">
        <v>38</v>
      </c>
      <c r="H24" s="10">
        <v>1500</v>
      </c>
      <c r="I24" s="136">
        <v>0.05</v>
      </c>
      <c r="J24" s="29"/>
      <c r="K24" s="87" t="s">
        <v>28</v>
      </c>
      <c r="L24" s="29"/>
      <c r="M24" s="52">
        <f>COUNTIFS('Reuniões 2025'!I:I, B24)</f>
        <v>33</v>
      </c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>
        <f>COUNTIFS('Reuniões 2025'!I:I, B24)</f>
        <v>33</v>
      </c>
    </row>
    <row r="25" spans="1:25" s="49" customFormat="1" hidden="1" x14ac:dyDescent="0.2">
      <c r="A25" s="114"/>
      <c r="B25" s="71" t="s">
        <v>168</v>
      </c>
      <c r="C25" s="22" t="s">
        <v>164</v>
      </c>
      <c r="D25" s="236">
        <v>45776</v>
      </c>
      <c r="E25" s="233">
        <f t="shared" ca="1" si="0"/>
        <v>46171</v>
      </c>
      <c r="F25" s="306"/>
      <c r="G25" s="7" t="s">
        <v>161</v>
      </c>
      <c r="H25" s="8">
        <v>1000</v>
      </c>
      <c r="I25" s="307">
        <v>0.03</v>
      </c>
      <c r="J25" s="29"/>
      <c r="K25" s="87"/>
      <c r="L25" s="29"/>
      <c r="M25" s="52">
        <f>COUNTIFS('Reuniões 2025'!I:I, B25)</f>
        <v>3</v>
      </c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>
        <f>COUNTIFS('Reuniões 2025'!I:I, B25)</f>
        <v>3</v>
      </c>
    </row>
    <row r="26" spans="1:25" s="49" customFormat="1" hidden="1" x14ac:dyDescent="0.2">
      <c r="A26" s="114"/>
      <c r="B26" s="71" t="s">
        <v>169</v>
      </c>
      <c r="C26" s="22" t="s">
        <v>164</v>
      </c>
      <c r="D26" s="236">
        <v>45763</v>
      </c>
      <c r="E26" s="233">
        <f t="shared" ref="E26:E34" ca="1" si="1">TODAY()</f>
        <v>46171</v>
      </c>
      <c r="F26" s="306"/>
      <c r="G26" s="7" t="s">
        <v>161</v>
      </c>
      <c r="H26" s="8">
        <v>1600</v>
      </c>
      <c r="I26" s="307">
        <v>0.01</v>
      </c>
      <c r="J26" s="29"/>
      <c r="K26" s="87"/>
      <c r="L26" s="29"/>
      <c r="M26" s="52">
        <f>COUNTIFS('Reuniões 2025'!I:I, B26)</f>
        <v>36</v>
      </c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>
        <f>COUNTIFS('Reuniões 2025'!I:I, B26)</f>
        <v>36</v>
      </c>
    </row>
    <row r="27" spans="1:25" s="49" customFormat="1" hidden="1" x14ac:dyDescent="0.2">
      <c r="A27" s="114"/>
      <c r="B27" s="71" t="s">
        <v>170</v>
      </c>
      <c r="C27" s="22" t="s">
        <v>164</v>
      </c>
      <c r="D27" s="236">
        <v>45763</v>
      </c>
      <c r="E27" s="233">
        <f t="shared" ca="1" si="1"/>
        <v>46171</v>
      </c>
      <c r="F27" s="306"/>
      <c r="G27" s="7" t="s">
        <v>161</v>
      </c>
      <c r="H27" s="8">
        <v>1500</v>
      </c>
      <c r="I27" s="307">
        <v>0.05</v>
      </c>
      <c r="J27" s="29"/>
      <c r="K27" s="87"/>
      <c r="L27" s="29"/>
      <c r="M27" s="52">
        <f>COUNTIFS('Reuniões 2025'!I:I, B27)</f>
        <v>7</v>
      </c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>
        <f>COUNTIFS('Reuniões 2025'!I:I, B27)</f>
        <v>7</v>
      </c>
    </row>
    <row r="28" spans="1:25" s="49" customFormat="1" hidden="1" x14ac:dyDescent="0.2">
      <c r="A28" s="114"/>
      <c r="B28" s="71" t="s">
        <v>171</v>
      </c>
      <c r="C28" s="22" t="s">
        <v>172</v>
      </c>
      <c r="D28" s="236">
        <v>45789</v>
      </c>
      <c r="E28" s="318">
        <f t="shared" ca="1" si="1"/>
        <v>46171</v>
      </c>
      <c r="F28" s="306">
        <f ca="1">DATEDIF(Tabela153[[#This Row],[Data entrada]],Tabela153[[#This Row],[Data 2]], "M")</f>
        <v>12</v>
      </c>
      <c r="G28" s="7" t="s">
        <v>31</v>
      </c>
      <c r="H28" s="8">
        <v>1500</v>
      </c>
      <c r="I28" s="307">
        <v>0.05</v>
      </c>
      <c r="J28" s="29"/>
      <c r="K28" s="87"/>
      <c r="L28" s="29"/>
      <c r="M28" s="52">
        <f>COUNTIFS('Reuniões 2025'!I:I, B28)</f>
        <v>10</v>
      </c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>
        <f>COUNTIFS('Reuniões 2025'!I:I, B28)</f>
        <v>10</v>
      </c>
    </row>
    <row r="29" spans="1:25" s="49" customFormat="1" hidden="1" x14ac:dyDescent="0.2">
      <c r="A29" s="114"/>
      <c r="B29" s="71" t="s">
        <v>173</v>
      </c>
      <c r="C29" s="22" t="s">
        <v>172</v>
      </c>
      <c r="D29" s="236">
        <v>45792</v>
      </c>
      <c r="E29" s="318">
        <f t="shared" ca="1" si="1"/>
        <v>46171</v>
      </c>
      <c r="F29" s="306">
        <f ca="1">DATEDIF(Tabela153[[#This Row],[Data entrada]],Tabela153[[#This Row],[Data 2]], "M")</f>
        <v>12</v>
      </c>
      <c r="G29" s="7" t="s">
        <v>161</v>
      </c>
      <c r="H29" s="8">
        <v>1500</v>
      </c>
      <c r="I29" s="307">
        <v>0.05</v>
      </c>
      <c r="J29" s="29"/>
      <c r="K29" s="87"/>
      <c r="L29" s="29"/>
      <c r="M29" s="52">
        <f>COUNTIFS('Reuniões 2025'!I:I, B29)</f>
        <v>1</v>
      </c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>
        <f>COUNTIFS('Reuniões 2025'!I:I, B29)</f>
        <v>1</v>
      </c>
    </row>
    <row r="30" spans="1:25" s="49" customFormat="1" hidden="1" x14ac:dyDescent="0.2">
      <c r="A30" s="114"/>
      <c r="B30" s="71" t="s">
        <v>174</v>
      </c>
      <c r="C30" s="22" t="s">
        <v>149</v>
      </c>
      <c r="D30" s="22">
        <v>45811</v>
      </c>
      <c r="E30" s="22">
        <f t="shared" ca="1" si="1"/>
        <v>46171</v>
      </c>
      <c r="F30" s="22"/>
      <c r="G30" s="322" t="s">
        <v>175</v>
      </c>
      <c r="H30" s="8">
        <v>1900</v>
      </c>
      <c r="I30" s="307">
        <v>0.05</v>
      </c>
      <c r="J30" s="22"/>
      <c r="K30" s="22"/>
      <c r="L30" s="22"/>
      <c r="M30" s="52">
        <f>COUNTIFS('Reuniões 2025'!I:I, B30)</f>
        <v>9</v>
      </c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>
        <f>COUNTIFS('Reuniões 2025'!I:I, B30)</f>
        <v>9</v>
      </c>
    </row>
    <row r="31" spans="1:25" s="49" customFormat="1" hidden="1" x14ac:dyDescent="0.2">
      <c r="A31" s="114"/>
      <c r="B31" s="71" t="s">
        <v>176</v>
      </c>
      <c r="C31" s="22" t="s">
        <v>149</v>
      </c>
      <c r="D31" s="22">
        <v>45825</v>
      </c>
      <c r="E31" s="22">
        <f t="shared" ca="1" si="1"/>
        <v>46171</v>
      </c>
      <c r="F31" s="22"/>
      <c r="G31" s="322" t="s">
        <v>161</v>
      </c>
      <c r="H31" s="8">
        <v>1500</v>
      </c>
      <c r="I31" s="307">
        <v>0.05</v>
      </c>
      <c r="J31" s="22"/>
      <c r="K31" s="22"/>
      <c r="L31" s="22"/>
      <c r="M31" s="52">
        <f>COUNTIFS('Reuniões 2025'!I:I, B31)</f>
        <v>14</v>
      </c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>
        <f>COUNTIFS('Reuniões 2025'!I:I, B31)</f>
        <v>14</v>
      </c>
    </row>
    <row r="32" spans="1:25" s="49" customFormat="1" hidden="1" x14ac:dyDescent="0.2">
      <c r="A32" s="114"/>
      <c r="B32" s="71" t="s">
        <v>177</v>
      </c>
      <c r="C32" s="22" t="s">
        <v>178</v>
      </c>
      <c r="D32" s="22">
        <v>45840</v>
      </c>
      <c r="E32" s="22">
        <f ca="1">TODAY()</f>
        <v>46171</v>
      </c>
      <c r="F32" s="22"/>
      <c r="G32" s="322" t="s">
        <v>31</v>
      </c>
      <c r="H32" s="8">
        <v>1500</v>
      </c>
      <c r="I32" s="307">
        <v>0.05</v>
      </c>
      <c r="J32" s="22"/>
      <c r="K32" s="22"/>
      <c r="L32" s="22"/>
      <c r="M32" s="52">
        <f>COUNTIFS('Reuniões 2025'!I:I, B32)</f>
        <v>9</v>
      </c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>
        <f>COUNTIFS('Reuniões 2025'!I:I, B32)</f>
        <v>9</v>
      </c>
    </row>
    <row r="33" spans="1:25" s="49" customFormat="1" hidden="1" x14ac:dyDescent="0.2">
      <c r="A33" s="114"/>
      <c r="B33" s="71" t="s">
        <v>179</v>
      </c>
      <c r="C33" s="22" t="s">
        <v>178</v>
      </c>
      <c r="D33" s="22">
        <v>45841</v>
      </c>
      <c r="E33" s="22">
        <f ca="1">TODAY()</f>
        <v>46171</v>
      </c>
      <c r="F33" s="22"/>
      <c r="G33" s="322" t="s">
        <v>161</v>
      </c>
      <c r="H33" s="8">
        <v>1500</v>
      </c>
      <c r="I33" s="307">
        <v>0.05</v>
      </c>
      <c r="J33" s="22"/>
      <c r="K33" s="22"/>
      <c r="L33" s="23"/>
      <c r="M33" s="52">
        <f>COUNTIFS('Reuniões 2025'!I:I, B33)</f>
        <v>9</v>
      </c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>
        <f>COUNTIFS('Reuniões 2025'!I:I, B33)</f>
        <v>9</v>
      </c>
    </row>
    <row r="34" spans="1:25" s="93" customFormat="1" hidden="1" x14ac:dyDescent="0.2">
      <c r="A34" s="113"/>
      <c r="B34" s="112"/>
      <c r="C34" s="104"/>
      <c r="D34" s="104"/>
      <c r="E34" s="104">
        <f t="shared" ca="1" si="1"/>
        <v>46171</v>
      </c>
      <c r="F34" s="104">
        <f ca="1">DATEDIF(Tabela153[[#This Row],[Data entrada]],Tabela153[[#This Row],[Data 2]], "M")</f>
        <v>1516</v>
      </c>
      <c r="G34" s="105"/>
      <c r="H34" s="111"/>
      <c r="I34" s="111"/>
      <c r="J34" s="106"/>
      <c r="K34" s="106"/>
      <c r="L34" s="106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100"/>
    </row>
    <row r="35" spans="1:25" hidden="1" x14ac:dyDescent="0.2">
      <c r="A35" s="227"/>
      <c r="B35" s="254" t="s">
        <v>60</v>
      </c>
      <c r="C35" s="239" t="s">
        <v>153</v>
      </c>
      <c r="D35" s="255">
        <v>45659</v>
      </c>
      <c r="E35" s="288">
        <v>45754</v>
      </c>
      <c r="F35" s="242">
        <f>DATEDIF(Tabela153[[#This Row],[Data entrada]],Tabela153[[#This Row],[Data 2]], "M")</f>
        <v>3</v>
      </c>
      <c r="G35" s="256" t="s">
        <v>38</v>
      </c>
      <c r="H35" s="244">
        <v>1500</v>
      </c>
      <c r="I35" s="270"/>
      <c r="J35" s="257">
        <v>3</v>
      </c>
      <c r="K35" s="246" t="s">
        <v>72</v>
      </c>
      <c r="L35" s="257"/>
    </row>
    <row r="36" spans="1:25" s="237" customFormat="1" ht="16.25" hidden="1" customHeight="1" x14ac:dyDescent="0.2">
      <c r="A36" s="114"/>
      <c r="B36" s="238" t="s">
        <v>53</v>
      </c>
      <c r="C36" s="239">
        <v>45658</v>
      </c>
      <c r="D36" s="240">
        <v>45665</v>
      </c>
      <c r="E36" s="288">
        <v>45747</v>
      </c>
      <c r="F36" s="242">
        <f>DATEDIF(Tabela153[[#This Row],[Data entrada]],Tabela153[[#This Row],[Data 2]], "M")</f>
        <v>2</v>
      </c>
      <c r="G36" s="243" t="s">
        <v>38</v>
      </c>
      <c r="H36" s="244">
        <v>1000</v>
      </c>
      <c r="I36" s="244"/>
      <c r="J36" s="245">
        <v>1</v>
      </c>
      <c r="K36" s="246" t="s">
        <v>72</v>
      </c>
      <c r="L36" s="247"/>
      <c r="M36" s="248"/>
      <c r="N36" s="248"/>
      <c r="O36" s="248"/>
      <c r="P36" s="248"/>
      <c r="Q36" s="248"/>
      <c r="R36" s="248"/>
      <c r="S36" s="248"/>
      <c r="T36" s="248"/>
      <c r="U36" s="248"/>
      <c r="V36" s="248"/>
      <c r="W36" s="248"/>
      <c r="X36" s="248"/>
      <c r="Y36" s="248"/>
    </row>
    <row r="37" spans="1:25" ht="16" hidden="1" x14ac:dyDescent="0.2">
      <c r="A37" s="113"/>
      <c r="B37" s="238" t="s">
        <v>70</v>
      </c>
      <c r="C37" s="239">
        <v>45597</v>
      </c>
      <c r="D37" s="249">
        <v>45616</v>
      </c>
      <c r="E37" s="250">
        <v>45708</v>
      </c>
      <c r="F37" s="251">
        <f>DATEDIF(Tabela153[[#This Row],[Data entrada]],Tabela153[[#This Row],[Data 2]], "M")</f>
        <v>3</v>
      </c>
      <c r="G37" s="252" t="s">
        <v>38</v>
      </c>
      <c r="H37" s="244">
        <v>1500</v>
      </c>
      <c r="I37" s="253" t="s">
        <v>27</v>
      </c>
      <c r="J37" s="246">
        <v>1</v>
      </c>
      <c r="K37" s="246" t="s">
        <v>72</v>
      </c>
      <c r="L37" s="247"/>
      <c r="M37" s="248"/>
      <c r="N37" s="248"/>
      <c r="O37" s="248"/>
      <c r="P37" s="248"/>
      <c r="Q37" s="248"/>
      <c r="R37" s="248"/>
      <c r="S37" s="248"/>
      <c r="T37" s="248"/>
      <c r="U37" s="248"/>
      <c r="V37" s="248"/>
      <c r="W37" s="248"/>
      <c r="X37" s="248"/>
      <c r="Y37" s="248"/>
    </row>
    <row r="38" spans="1:25" ht="16" hidden="1" x14ac:dyDescent="0.2">
      <c r="A38" s="113"/>
      <c r="B38" s="254" t="s">
        <v>73</v>
      </c>
      <c r="C38" s="239">
        <v>45444</v>
      </c>
      <c r="D38" s="255">
        <v>45454</v>
      </c>
      <c r="E38" s="250">
        <v>45576</v>
      </c>
      <c r="F38" s="242">
        <f>DATEDIF(Tabela153[[#This Row],[Data entrada]],Tabela153[[#This Row],[Data 2]], "M")</f>
        <v>4</v>
      </c>
      <c r="G38" s="256" t="s">
        <v>43</v>
      </c>
      <c r="H38" s="244">
        <v>1500</v>
      </c>
      <c r="I38" s="253" t="s">
        <v>27</v>
      </c>
      <c r="J38" s="257">
        <v>2</v>
      </c>
      <c r="K38" s="257" t="s">
        <v>72</v>
      </c>
      <c r="L38" s="257"/>
      <c r="M38" s="248"/>
      <c r="N38" s="248"/>
      <c r="O38" s="248"/>
      <c r="P38" s="248"/>
      <c r="Q38" s="248"/>
      <c r="R38" s="248"/>
      <c r="S38" s="248"/>
      <c r="T38" s="248"/>
      <c r="U38" s="248"/>
      <c r="V38" s="248"/>
      <c r="W38" s="248"/>
      <c r="X38" s="248"/>
      <c r="Y38" s="248"/>
    </row>
    <row r="39" spans="1:25" ht="16" hidden="1" x14ac:dyDescent="0.2">
      <c r="A39" s="113"/>
      <c r="B39" s="254" t="s">
        <v>74</v>
      </c>
      <c r="C39" s="239">
        <v>45559</v>
      </c>
      <c r="D39" s="255">
        <v>45537</v>
      </c>
      <c r="E39" s="250">
        <v>45567</v>
      </c>
      <c r="F39" s="242">
        <f>DATEDIF(Tabela153[[#This Row],[Data entrada]],Tabela153[[#This Row],[Data 2]], "M")</f>
        <v>1</v>
      </c>
      <c r="G39" s="256" t="s">
        <v>43</v>
      </c>
      <c r="H39" s="244">
        <v>1500</v>
      </c>
      <c r="I39" s="253" t="s">
        <v>27</v>
      </c>
      <c r="J39" s="257">
        <v>1</v>
      </c>
      <c r="K39" s="257" t="s">
        <v>72</v>
      </c>
      <c r="L39" s="257"/>
      <c r="M39" s="248"/>
      <c r="N39" s="248"/>
      <c r="O39" s="248"/>
      <c r="P39" s="248"/>
      <c r="Q39" s="248"/>
      <c r="R39" s="248"/>
      <c r="S39" s="248"/>
      <c r="T39" s="248"/>
      <c r="U39" s="248"/>
      <c r="V39" s="248"/>
      <c r="W39" s="248"/>
      <c r="X39" s="248"/>
      <c r="Y39" s="248"/>
    </row>
    <row r="40" spans="1:25" ht="16.25" hidden="1" customHeight="1" x14ac:dyDescent="0.2">
      <c r="A40" s="114"/>
      <c r="B40" s="238" t="s">
        <v>75</v>
      </c>
      <c r="C40" s="239" t="s">
        <v>76</v>
      </c>
      <c r="D40" s="258">
        <v>45627</v>
      </c>
      <c r="E40" s="258">
        <v>45627</v>
      </c>
      <c r="F40" s="251">
        <f>DATEDIF(Tabela153[[#This Row],[Data entrada]],Tabela153[[#This Row],[Data 2]], "M")</f>
        <v>0</v>
      </c>
      <c r="G40" s="259" t="s">
        <v>38</v>
      </c>
      <c r="H40" s="260">
        <v>1500</v>
      </c>
      <c r="I40" s="260"/>
      <c r="J40" s="261">
        <v>1</v>
      </c>
      <c r="K40" s="245" t="s">
        <v>72</v>
      </c>
      <c r="L40" s="247"/>
      <c r="M40" s="248"/>
      <c r="N40" s="248"/>
      <c r="O40" s="248"/>
      <c r="P40" s="248"/>
      <c r="Q40" s="248"/>
      <c r="R40" s="248"/>
      <c r="S40" s="248"/>
      <c r="T40" s="248"/>
      <c r="U40" s="248"/>
      <c r="V40" s="248"/>
      <c r="W40" s="248"/>
      <c r="X40" s="248"/>
      <c r="Y40" s="248"/>
    </row>
    <row r="41" spans="1:25" hidden="1" x14ac:dyDescent="0.2">
      <c r="A41" s="113"/>
      <c r="B41" s="262" t="s">
        <v>77</v>
      </c>
      <c r="C41" s="263">
        <v>45474</v>
      </c>
      <c r="D41" s="241">
        <v>45482</v>
      </c>
      <c r="E41" s="250">
        <v>45544</v>
      </c>
      <c r="F41" s="242">
        <f>DATEDIF(Tabela153[[#This Row],[Data entrada]],Tabela153[[#This Row],[Data 2]], "M")</f>
        <v>2</v>
      </c>
      <c r="G41" s="264" t="s">
        <v>31</v>
      </c>
      <c r="H41" s="265">
        <v>1500</v>
      </c>
      <c r="I41" s="263" t="s">
        <v>27</v>
      </c>
      <c r="J41" s="263">
        <v>3</v>
      </c>
      <c r="K41" s="263" t="s">
        <v>72</v>
      </c>
      <c r="L41" s="263" t="s">
        <v>78</v>
      </c>
      <c r="M41" s="248"/>
      <c r="N41" s="248"/>
      <c r="O41" s="248"/>
      <c r="P41" s="248"/>
      <c r="Q41" s="248"/>
      <c r="R41" s="248"/>
      <c r="S41" s="248"/>
      <c r="T41" s="248"/>
      <c r="U41" s="248"/>
      <c r="V41" s="248"/>
      <c r="W41" s="248"/>
      <c r="X41" s="248"/>
      <c r="Y41" s="248"/>
    </row>
    <row r="42" spans="1:25" hidden="1" x14ac:dyDescent="0.2">
      <c r="A42" s="113"/>
      <c r="B42" s="266" t="s">
        <v>79</v>
      </c>
      <c r="C42" s="263">
        <v>45505</v>
      </c>
      <c r="D42" s="241">
        <v>45505</v>
      </c>
      <c r="E42" s="241">
        <v>45413</v>
      </c>
      <c r="F42" s="242"/>
      <c r="G42" s="267" t="s">
        <v>26</v>
      </c>
      <c r="H42" s="260">
        <v>800</v>
      </c>
      <c r="I42" s="260"/>
      <c r="J42" s="257">
        <v>0</v>
      </c>
      <c r="K42" s="257" t="s">
        <v>72</v>
      </c>
      <c r="L42" s="257" t="s">
        <v>80</v>
      </c>
      <c r="M42" s="248"/>
      <c r="N42" s="248"/>
      <c r="O42" s="248"/>
      <c r="P42" s="248"/>
      <c r="Q42" s="248"/>
      <c r="R42" s="248"/>
      <c r="S42" s="248"/>
      <c r="T42" s="248"/>
      <c r="U42" s="248"/>
      <c r="V42" s="248"/>
      <c r="W42" s="248"/>
      <c r="X42" s="248"/>
      <c r="Y42" s="248"/>
    </row>
    <row r="43" spans="1:25" hidden="1" x14ac:dyDescent="0.2">
      <c r="A43" s="113"/>
      <c r="B43" s="266" t="s">
        <v>81</v>
      </c>
      <c r="C43" s="239">
        <v>45078</v>
      </c>
      <c r="D43" s="255">
        <v>45444</v>
      </c>
      <c r="E43" s="250">
        <v>45544</v>
      </c>
      <c r="F43" s="242"/>
      <c r="G43" s="267" t="s">
        <v>31</v>
      </c>
      <c r="H43" s="260">
        <v>1100</v>
      </c>
      <c r="I43" s="260"/>
      <c r="J43" s="257">
        <v>15</v>
      </c>
      <c r="K43" s="263" t="s">
        <v>72</v>
      </c>
      <c r="L43" s="257" t="s">
        <v>82</v>
      </c>
      <c r="M43" s="248"/>
      <c r="N43" s="248"/>
      <c r="O43" s="248"/>
      <c r="P43" s="248"/>
      <c r="Q43" s="248"/>
      <c r="R43" s="248"/>
      <c r="S43" s="248"/>
      <c r="T43" s="248"/>
      <c r="U43" s="248"/>
      <c r="V43" s="248"/>
      <c r="W43" s="248"/>
      <c r="X43" s="248"/>
      <c r="Y43" s="248"/>
    </row>
    <row r="44" spans="1:25" ht="16" hidden="1" x14ac:dyDescent="0.2">
      <c r="A44" s="113"/>
      <c r="B44" s="268" t="s">
        <v>24</v>
      </c>
      <c r="C44" s="239">
        <v>45597</v>
      </c>
      <c r="D44" s="241">
        <v>45617</v>
      </c>
      <c r="E44" s="241">
        <v>45737</v>
      </c>
      <c r="F44" s="242">
        <f>DATEDIF(Tabela153[[#This Row],[Data entrada]],Tabela153[[#This Row],[Data 2]], "M")</f>
        <v>4</v>
      </c>
      <c r="G44" s="269" t="s">
        <v>152</v>
      </c>
      <c r="H44" s="244">
        <v>1200</v>
      </c>
      <c r="I44" s="253" t="s">
        <v>27</v>
      </c>
      <c r="J44" s="246">
        <v>1</v>
      </c>
      <c r="K44" s="257" t="s">
        <v>72</v>
      </c>
      <c r="L44" s="247"/>
      <c r="M44" s="248"/>
      <c r="N44" s="248"/>
      <c r="O44" s="248"/>
      <c r="P44" s="248"/>
      <c r="Q44" s="248"/>
      <c r="R44" s="248"/>
      <c r="S44" s="248"/>
      <c r="T44" s="248"/>
      <c r="U44" s="248"/>
      <c r="V44" s="248"/>
      <c r="W44" s="248"/>
      <c r="X44" s="248"/>
      <c r="Y44" s="248"/>
    </row>
    <row r="45" spans="1:25" hidden="1" x14ac:dyDescent="0.2">
      <c r="A45" s="113"/>
      <c r="B45" s="268" t="s">
        <v>34</v>
      </c>
      <c r="C45" s="239">
        <v>45444</v>
      </c>
      <c r="D45" s="241">
        <v>45463</v>
      </c>
      <c r="E45" s="241">
        <v>45736</v>
      </c>
      <c r="F45" s="242">
        <f>DATEDIF(Tabela153[[#This Row],[Data entrada]],Tabela153[[#This Row],[Data 2]], "M")</f>
        <v>9</v>
      </c>
      <c r="G45" s="243" t="s">
        <v>31</v>
      </c>
      <c r="H45" s="244">
        <v>1500</v>
      </c>
      <c r="I45" s="270">
        <v>0.05</v>
      </c>
      <c r="J45" s="271">
        <v>1</v>
      </c>
      <c r="K45" s="263" t="s">
        <v>72</v>
      </c>
      <c r="L45" s="247"/>
      <c r="M45" s="248"/>
      <c r="N45" s="248"/>
      <c r="O45" s="248"/>
      <c r="P45" s="248"/>
      <c r="Q45" s="248"/>
      <c r="R45" s="248"/>
      <c r="S45" s="248"/>
      <c r="T45" s="248"/>
      <c r="U45" s="248"/>
      <c r="V45" s="248"/>
      <c r="W45" s="248"/>
      <c r="X45" s="248"/>
      <c r="Y45" s="248"/>
    </row>
    <row r="46" spans="1:25" ht="16" hidden="1" x14ac:dyDescent="0.2">
      <c r="A46" s="113"/>
      <c r="B46" s="268" t="s">
        <v>57</v>
      </c>
      <c r="C46" s="263">
        <v>45627</v>
      </c>
      <c r="D46" s="255">
        <v>45627</v>
      </c>
      <c r="E46" s="241">
        <v>45744</v>
      </c>
      <c r="F46" s="242">
        <f>DATEDIF(Tabela153[[#This Row],[Data entrada]],Tabela153[[#This Row],[Data 2]], "M")</f>
        <v>3</v>
      </c>
      <c r="G46" s="267" t="s">
        <v>43</v>
      </c>
      <c r="H46" s="260">
        <v>1900</v>
      </c>
      <c r="I46" s="253" t="s">
        <v>27</v>
      </c>
      <c r="J46" s="257">
        <v>1</v>
      </c>
      <c r="K46" s="246" t="s">
        <v>72</v>
      </c>
      <c r="L46" s="257"/>
      <c r="M46" s="248"/>
      <c r="N46" s="248"/>
      <c r="O46" s="248"/>
      <c r="P46" s="248"/>
      <c r="Q46" s="248"/>
      <c r="R46" s="248"/>
      <c r="S46" s="248"/>
      <c r="T46" s="248"/>
      <c r="U46" s="248"/>
      <c r="V46" s="248"/>
      <c r="W46" s="248"/>
      <c r="X46" s="248"/>
      <c r="Y46" s="248"/>
    </row>
    <row r="47" spans="1:25" s="93" customFormat="1" hidden="1" x14ac:dyDescent="0.2">
      <c r="A47" s="113"/>
      <c r="B47" s="112"/>
      <c r="C47" s="104"/>
      <c r="D47" s="104"/>
      <c r="E47" s="104">
        <f ca="1">TODAY()</f>
        <v>46171</v>
      </c>
      <c r="F47" s="104">
        <f ca="1">DATEDIF(Tabela153[[#This Row],[Data entrada]],Tabela153[[#This Row],[Data 2]], "M")</f>
        <v>1516</v>
      </c>
      <c r="G47" s="105"/>
      <c r="H47" s="111"/>
      <c r="I47" s="111"/>
      <c r="J47" s="106"/>
      <c r="K47" s="106"/>
      <c r="L47" s="106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100"/>
    </row>
    <row r="48" spans="1:25" s="226" customFormat="1" ht="16" hidden="1" x14ac:dyDescent="0.2">
      <c r="A48" s="114"/>
      <c r="B48" s="219" t="s">
        <v>49</v>
      </c>
      <c r="C48" s="220" t="s">
        <v>154</v>
      </c>
      <c r="D48" s="295">
        <v>45299</v>
      </c>
      <c r="E48" s="290">
        <v>45747</v>
      </c>
      <c r="F48" s="297">
        <f>DATEDIF(Tabela153[[#This Row],[Data entrada]],Tabela153[[#This Row],[Data 2]], "M")</f>
        <v>14</v>
      </c>
      <c r="G48" s="221" t="s">
        <v>43</v>
      </c>
      <c r="H48" s="222">
        <v>1100</v>
      </c>
      <c r="I48" s="293" t="s">
        <v>27</v>
      </c>
      <c r="J48" s="224">
        <v>7</v>
      </c>
      <c r="K48" s="225" t="s">
        <v>180</v>
      </c>
      <c r="L48" s="224"/>
    </row>
    <row r="49" spans="1:25" ht="16" hidden="1" x14ac:dyDescent="0.2">
      <c r="A49" s="113"/>
      <c r="B49" s="294" t="s">
        <v>47</v>
      </c>
      <c r="C49" s="220" t="s">
        <v>151</v>
      </c>
      <c r="D49" s="295">
        <v>45470</v>
      </c>
      <c r="E49" s="296">
        <v>45684</v>
      </c>
      <c r="F49" s="297">
        <f>DATEDIF(Tabela153[[#This Row],[Data entrada]],Tabela153[[#This Row],[Data 2]], "M")</f>
        <v>7</v>
      </c>
      <c r="G49" s="301" t="s">
        <v>152</v>
      </c>
      <c r="H49" s="302">
        <v>1300</v>
      </c>
      <c r="I49" s="293" t="s">
        <v>27</v>
      </c>
      <c r="J49" s="224">
        <v>2</v>
      </c>
      <c r="K49" s="225" t="s">
        <v>180</v>
      </c>
      <c r="L49" s="29"/>
    </row>
    <row r="50" spans="1:25" ht="16" hidden="1" x14ac:dyDescent="0.2">
      <c r="A50" s="113"/>
      <c r="B50" s="289" t="s">
        <v>36</v>
      </c>
      <c r="C50" s="220" t="s">
        <v>151</v>
      </c>
      <c r="D50" s="290">
        <v>45558</v>
      </c>
      <c r="E50" s="290">
        <v>45747</v>
      </c>
      <c r="F50" s="291">
        <f>DATEDIF(Tabela153[[#This Row],[Data entrada]],Tabela153[[#This Row],[Data 2]], "M")</f>
        <v>6</v>
      </c>
      <c r="G50" s="292" t="s">
        <v>38</v>
      </c>
      <c r="H50" s="222">
        <v>1200</v>
      </c>
      <c r="I50" s="293" t="s">
        <v>27</v>
      </c>
      <c r="J50" s="299">
        <v>1</v>
      </c>
      <c r="K50" s="225" t="s">
        <v>180</v>
      </c>
      <c r="L50" s="87"/>
    </row>
    <row r="51" spans="1:25" ht="16" hidden="1" x14ac:dyDescent="0.2">
      <c r="A51" s="113"/>
      <c r="B51" s="294" t="s">
        <v>39</v>
      </c>
      <c r="C51" s="220" t="s">
        <v>151</v>
      </c>
      <c r="D51" s="295">
        <v>45548</v>
      </c>
      <c r="E51" s="290">
        <v>45747</v>
      </c>
      <c r="F51" s="297">
        <f>DATEDIF(Tabela153[[#This Row],[Data entrada]],Tabela153[[#This Row],[Data 2]], "M")</f>
        <v>6</v>
      </c>
      <c r="G51" s="298" t="s">
        <v>38</v>
      </c>
      <c r="H51" s="222">
        <v>1500</v>
      </c>
      <c r="I51" s="293" t="s">
        <v>27</v>
      </c>
      <c r="J51" s="224">
        <v>2</v>
      </c>
      <c r="K51" s="225" t="s">
        <v>180</v>
      </c>
      <c r="L51" s="29"/>
    </row>
    <row r="52" spans="1:25" ht="16" hidden="1" x14ac:dyDescent="0.2">
      <c r="A52" s="113"/>
      <c r="B52" s="219" t="s">
        <v>41</v>
      </c>
      <c r="C52" s="220" t="s">
        <v>148</v>
      </c>
      <c r="D52" s="295">
        <v>45543</v>
      </c>
      <c r="E52" s="290">
        <v>45747</v>
      </c>
      <c r="F52" s="297">
        <f>DATEDIF(Tabela153[[#This Row],[Data entrada]],Tabela153[[#This Row],[Data 2]], "M")</f>
        <v>6</v>
      </c>
      <c r="G52" s="221" t="s">
        <v>152</v>
      </c>
      <c r="H52" s="222">
        <v>1900</v>
      </c>
      <c r="I52" s="293" t="s">
        <v>27</v>
      </c>
      <c r="J52" s="224">
        <v>0</v>
      </c>
      <c r="K52" s="225" t="s">
        <v>180</v>
      </c>
      <c r="L52" s="29"/>
    </row>
    <row r="53" spans="1:25" hidden="1" x14ac:dyDescent="0.2">
      <c r="B53" s="219" t="s">
        <v>58</v>
      </c>
      <c r="C53" s="220">
        <v>45627</v>
      </c>
      <c r="D53" s="295">
        <v>45643</v>
      </c>
      <c r="E53" s="295">
        <v>45705</v>
      </c>
      <c r="F53" s="220"/>
      <c r="G53" s="221" t="s">
        <v>38</v>
      </c>
      <c r="H53" s="222">
        <v>1900</v>
      </c>
      <c r="I53" s="223">
        <v>0.03</v>
      </c>
      <c r="J53" s="224"/>
      <c r="K53" s="225" t="s">
        <v>180</v>
      </c>
      <c r="L53" s="224"/>
      <c r="M53" s="226"/>
      <c r="N53" s="226"/>
      <c r="O53" s="226"/>
      <c r="P53" s="226"/>
      <c r="Q53" s="226"/>
      <c r="R53" s="226"/>
      <c r="S53" s="226"/>
      <c r="T53" s="226"/>
      <c r="U53" s="226"/>
      <c r="V53" s="226"/>
      <c r="W53" s="226"/>
      <c r="X53" s="226"/>
      <c r="Y53" s="226"/>
    </row>
    <row r="55" spans="1:25" x14ac:dyDescent="0.2">
      <c r="B55" s="272" t="s">
        <v>181</v>
      </c>
      <c r="C55" s="273">
        <f>COUNT(D8:D29)</f>
        <v>22</v>
      </c>
    </row>
    <row r="56" spans="1:25" x14ac:dyDescent="0.2">
      <c r="B56" s="277" t="s">
        <v>182</v>
      </c>
      <c r="C56" s="274">
        <f>COUNT(E35:E46)</f>
        <v>12</v>
      </c>
      <c r="H56" s="6" t="s">
        <v>183</v>
      </c>
      <c r="I56" s="6" t="s">
        <v>184</v>
      </c>
    </row>
    <row r="57" spans="1:25" x14ac:dyDescent="0.2">
      <c r="B57" s="278" t="s">
        <v>185</v>
      </c>
      <c r="C57" s="275">
        <f>COUNT(D48:D53)</f>
        <v>6</v>
      </c>
      <c r="G57" s="36" t="s">
        <v>43</v>
      </c>
      <c r="H57" s="33">
        <f>SUM(H9,H10,H14,H15)</f>
        <v>5600</v>
      </c>
      <c r="I57" s="281">
        <f>COUNTIF(G8:G20,G10)</f>
        <v>4</v>
      </c>
    </row>
    <row r="58" spans="1:25" x14ac:dyDescent="0.2">
      <c r="B58" s="279" t="s">
        <v>23</v>
      </c>
      <c r="C58" s="276">
        <f>SUM(C55,C57,C56)</f>
        <v>40</v>
      </c>
      <c r="F58" s="329"/>
      <c r="G58" s="36" t="s">
        <v>152</v>
      </c>
      <c r="H58" s="33">
        <f>SUM(H12,H16)</f>
        <v>2700</v>
      </c>
      <c r="I58" s="281">
        <f>COUNTIF(G8:G20,G58)</f>
        <v>2</v>
      </c>
    </row>
    <row r="59" spans="1:25" x14ac:dyDescent="0.2">
      <c r="G59" s="36" t="s">
        <v>31</v>
      </c>
      <c r="H59" s="33">
        <f>SUM(H8,H11,H20)</f>
        <v>3900</v>
      </c>
      <c r="I59" s="281">
        <f>COUNTIF(G8:G20,G59)</f>
        <v>3</v>
      </c>
    </row>
    <row r="60" spans="1:25" x14ac:dyDescent="0.2">
      <c r="G60" s="36" t="s">
        <v>38</v>
      </c>
      <c r="H60" s="33">
        <f>SUM(H18+H17+H13+H35+H51+H50)</f>
        <v>9500</v>
      </c>
      <c r="I60" s="281">
        <f>COUNTIF(G8:G20,G60)</f>
        <v>3</v>
      </c>
    </row>
    <row r="61" spans="1:25" x14ac:dyDescent="0.2">
      <c r="G61" s="36" t="s">
        <v>161</v>
      </c>
      <c r="H61" s="33">
        <f>H19</f>
        <v>1900</v>
      </c>
      <c r="I61" s="281">
        <f>COUNTIF(G8:G20,G61)</f>
        <v>1</v>
      </c>
    </row>
    <row r="62" spans="1:25" x14ac:dyDescent="0.2">
      <c r="G62" s="280" t="s">
        <v>23</v>
      </c>
      <c r="H62" s="282">
        <f>SUM(H57:H61)</f>
        <v>23600</v>
      </c>
      <c r="I62" s="283">
        <v>19</v>
      </c>
    </row>
    <row r="65" spans="3:7" x14ac:dyDescent="0.2">
      <c r="G65"/>
    </row>
    <row r="66" spans="3:7" ht="19" x14ac:dyDescent="0.25">
      <c r="C66" s="284">
        <v>2025</v>
      </c>
      <c r="D66" s="283" t="s">
        <v>131</v>
      </c>
      <c r="G66"/>
    </row>
    <row r="67" spans="3:7" x14ac:dyDescent="0.2">
      <c r="C67" s="279" t="s">
        <v>132</v>
      </c>
      <c r="D67" s="285">
        <f>COUNTIF(C8:C20,C13)</f>
        <v>2</v>
      </c>
      <c r="G67"/>
    </row>
    <row r="68" spans="3:7" x14ac:dyDescent="0.2">
      <c r="C68" s="279" t="s">
        <v>133</v>
      </c>
      <c r="D68" s="285">
        <f>COUNTIF(C8:C20,C16)</f>
        <v>1</v>
      </c>
      <c r="G68"/>
    </row>
    <row r="69" spans="3:7" x14ac:dyDescent="0.2">
      <c r="C69" s="279" t="s">
        <v>134</v>
      </c>
      <c r="D69" s="285">
        <f>COUNTIF(C8:C20,C19)</f>
        <v>4</v>
      </c>
      <c r="G69"/>
    </row>
    <row r="70" spans="3:7" x14ac:dyDescent="0.2">
      <c r="C70" s="279" t="s">
        <v>135</v>
      </c>
      <c r="D70" s="285">
        <f>COUNT(D21:D22,D23,D24)</f>
        <v>4</v>
      </c>
      <c r="G70"/>
    </row>
    <row r="71" spans="3:7" x14ac:dyDescent="0.2">
      <c r="C71" s="279" t="s">
        <v>136</v>
      </c>
      <c r="D71" s="285"/>
      <c r="G71"/>
    </row>
    <row r="72" spans="3:7" x14ac:dyDescent="0.2">
      <c r="C72" s="279" t="s">
        <v>137</v>
      </c>
      <c r="D72" s="285"/>
      <c r="G72"/>
    </row>
    <row r="73" spans="3:7" x14ac:dyDescent="0.2">
      <c r="C73" s="279" t="s">
        <v>138</v>
      </c>
      <c r="D73" s="285"/>
      <c r="G73"/>
    </row>
    <row r="74" spans="3:7" x14ac:dyDescent="0.2">
      <c r="C74" s="279" t="s">
        <v>139</v>
      </c>
      <c r="D74" s="285"/>
      <c r="G74"/>
    </row>
    <row r="75" spans="3:7" x14ac:dyDescent="0.2">
      <c r="C75" s="279" t="s">
        <v>140</v>
      </c>
      <c r="D75" s="285"/>
      <c r="G75"/>
    </row>
    <row r="76" spans="3:7" x14ac:dyDescent="0.2">
      <c r="C76" s="279" t="s">
        <v>141</v>
      </c>
      <c r="D76" s="285"/>
      <c r="G76"/>
    </row>
    <row r="77" spans="3:7" x14ac:dyDescent="0.2">
      <c r="C77" s="279" t="s">
        <v>142</v>
      </c>
      <c r="D77" s="285"/>
      <c r="G77"/>
    </row>
    <row r="78" spans="3:7" x14ac:dyDescent="0.2">
      <c r="C78" s="279" t="s">
        <v>143</v>
      </c>
      <c r="D78" s="285"/>
      <c r="G78"/>
    </row>
    <row r="79" spans="3:7" x14ac:dyDescent="0.2">
      <c r="G79"/>
    </row>
    <row r="80" spans="3:7" x14ac:dyDescent="0.2">
      <c r="G80"/>
    </row>
    <row r="81" spans="3:7" x14ac:dyDescent="0.2">
      <c r="G81"/>
    </row>
    <row r="82" spans="3:7" x14ac:dyDescent="0.2">
      <c r="G82"/>
    </row>
    <row r="83" spans="3:7" ht="19" x14ac:dyDescent="0.25">
      <c r="C83" s="300">
        <v>2025</v>
      </c>
      <c r="D83" s="283" t="s">
        <v>186</v>
      </c>
      <c r="G83"/>
    </row>
    <row r="84" spans="3:7" x14ac:dyDescent="0.2">
      <c r="C84" s="279" t="s">
        <v>132</v>
      </c>
      <c r="D84" s="5">
        <f>COUNT(E49)</f>
        <v>1</v>
      </c>
      <c r="G84"/>
    </row>
    <row r="85" spans="3:7" x14ac:dyDescent="0.2">
      <c r="C85" s="279" t="s">
        <v>133</v>
      </c>
      <c r="D85" s="5">
        <f>COUNT(E37,E53)</f>
        <v>2</v>
      </c>
      <c r="G85"/>
    </row>
    <row r="86" spans="3:7" x14ac:dyDescent="0.2">
      <c r="C86" s="279" t="s">
        <v>134</v>
      </c>
      <c r="D86" s="5">
        <f>COUNT(D17:D20)</f>
        <v>4</v>
      </c>
      <c r="G86"/>
    </row>
    <row r="87" spans="3:7" x14ac:dyDescent="0.2">
      <c r="C87" s="279" t="s">
        <v>135</v>
      </c>
      <c r="D87" s="5">
        <f>COUNT(D21:D24)</f>
        <v>4</v>
      </c>
      <c r="G87"/>
    </row>
    <row r="88" spans="3:7" x14ac:dyDescent="0.2">
      <c r="C88" s="279" t="s">
        <v>136</v>
      </c>
      <c r="D88" s="5"/>
      <c r="G88"/>
    </row>
    <row r="89" spans="3:7" x14ac:dyDescent="0.2">
      <c r="C89" s="279" t="s">
        <v>137</v>
      </c>
      <c r="D89" s="5"/>
    </row>
    <row r="90" spans="3:7" x14ac:dyDescent="0.2">
      <c r="C90" s="279" t="s">
        <v>138</v>
      </c>
      <c r="D90" s="5"/>
    </row>
    <row r="91" spans="3:7" x14ac:dyDescent="0.2">
      <c r="C91" s="279" t="s">
        <v>139</v>
      </c>
      <c r="D91" s="5"/>
    </row>
    <row r="92" spans="3:7" x14ac:dyDescent="0.2">
      <c r="C92" s="279" t="s">
        <v>140</v>
      </c>
      <c r="D92" s="5"/>
    </row>
    <row r="93" spans="3:7" x14ac:dyDescent="0.2">
      <c r="C93" s="279" t="s">
        <v>141</v>
      </c>
      <c r="D93" s="5"/>
    </row>
    <row r="94" spans="3:7" x14ac:dyDescent="0.2">
      <c r="C94" s="279" t="s">
        <v>142</v>
      </c>
      <c r="D94" s="5"/>
    </row>
    <row r="95" spans="3:7" x14ac:dyDescent="0.2">
      <c r="C95" s="279" t="s">
        <v>143</v>
      </c>
      <c r="D95" s="5"/>
    </row>
  </sheetData>
  <mergeCells count="2">
    <mergeCell ref="B2:K5"/>
    <mergeCell ref="L6:Y6"/>
  </mergeCells>
  <phoneticPr fontId="2" type="noConversion"/>
  <conditionalFormatting sqref="H57:I61 H6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{F7D17992-FD7E-CC49-84EC-61881C9BC23F}</x14:id>
        </ext>
      </extLst>
    </cfRule>
  </conditionalFormatting>
  <conditionalFormatting sqref="M34:T3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{0BDFD6C9-66A9-4F6E-A1E7-3D86DE069758}</x14:id>
        </ext>
      </extLst>
    </cfRule>
  </conditionalFormatting>
  <conditionalFormatting sqref="M47:T47 M38:X43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{EAB9CC8E-A660-A64C-B376-60D56F86DDAB}</x14:id>
        </ext>
      </extLst>
    </cfRule>
  </conditionalFormatting>
  <conditionalFormatting sqref="M8:Y25 M35:Y36 M48:Y52 M44:Y4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{7BFC7E8E-3B39-0943-8871-E8EBE3D55960}</x14:id>
        </ext>
      </extLst>
    </cfRule>
  </conditionalFormatting>
  <conditionalFormatting sqref="M26:Y3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{BDD608AD-16B9-4A79-BAD2-0BEA4AD47237}</x14:id>
        </ext>
      </extLst>
    </cfRule>
  </conditionalFormatting>
  <conditionalFormatting sqref="M37:Y37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{F64ED862-A7E3-A941-9DA0-C704F4C1C8F6}</x14:id>
        </ext>
      </extLst>
    </cfRule>
  </conditionalFormatting>
  <conditionalFormatting sqref="M53:Y5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{BB2AF3FD-859A-254C-9C4E-F1E04E019C45}</x14:id>
        </ext>
      </extLst>
    </cfRule>
  </conditionalFormatting>
  <conditionalFormatting sqref="Y38:Y4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{5F53F39F-664B-424E-A74B-EFD7B5D413FC}</x14:id>
        </ext>
      </extLst>
    </cfRule>
  </conditionalFormatting>
  <pageMargins left="0.7" right="0.7" top="0.75" bottom="0.75" header="0.3" footer="0.3"/>
  <drawing r:id="rId1"/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7D17992-FD7E-CC49-84EC-61881C9BC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H57:I61 H62</xm:sqref>
        </x14:conditionalFormatting>
        <x14:conditionalFormatting xmlns:xm="http://schemas.microsoft.com/office/excel/2006/main">
          <x14:cfRule type="dataBar" id="{0BDFD6C9-66A9-4F6E-A1E7-3D86DE0697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M34:T34</xm:sqref>
        </x14:conditionalFormatting>
        <x14:conditionalFormatting xmlns:xm="http://schemas.microsoft.com/office/excel/2006/main">
          <x14:cfRule type="dataBar" id="{EAB9CC8E-A660-A64C-B376-60D56F86DD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M47:T47 M38:X43</xm:sqref>
        </x14:conditionalFormatting>
        <x14:conditionalFormatting xmlns:xm="http://schemas.microsoft.com/office/excel/2006/main">
          <x14:cfRule type="dataBar" id="{7BFC7E8E-3B39-0943-8871-E8EBE3D559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M8:Y25 M35:Y36 M48:Y52 M44:Y46</xm:sqref>
        </x14:conditionalFormatting>
        <x14:conditionalFormatting xmlns:xm="http://schemas.microsoft.com/office/excel/2006/main">
          <x14:cfRule type="dataBar" id="{BDD608AD-16B9-4A79-BAD2-0BEA4AD4723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M26:Y33</xm:sqref>
        </x14:conditionalFormatting>
        <x14:conditionalFormatting xmlns:xm="http://schemas.microsoft.com/office/excel/2006/main">
          <x14:cfRule type="dataBar" id="{F64ED862-A7E3-A941-9DA0-C704F4C1C8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M37:Y37</xm:sqref>
        </x14:conditionalFormatting>
        <x14:conditionalFormatting xmlns:xm="http://schemas.microsoft.com/office/excel/2006/main">
          <x14:cfRule type="dataBar" id="{BB2AF3FD-859A-254C-9C4E-F1E04E019C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M53:Y53</xm:sqref>
        </x14:conditionalFormatting>
        <x14:conditionalFormatting xmlns:xm="http://schemas.microsoft.com/office/excel/2006/main">
          <x14:cfRule type="dataBar" id="{5F53F39F-664B-424E-A74B-EFD7B5D413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Y38:Y43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99D5-8035-48AA-8C27-4576F75B7E70}">
  <dimension ref="G1:Q1087"/>
  <sheetViews>
    <sheetView topLeftCell="E1" zoomScale="110" zoomScaleNormal="110" workbookViewId="0">
      <selection activeCell="J1072" sqref="J1072"/>
    </sheetView>
  </sheetViews>
  <sheetFormatPr baseColWidth="10" defaultColWidth="8.6640625" defaultRowHeight="15" x14ac:dyDescent="0.2"/>
  <cols>
    <col min="5" max="6" width="8.6640625" customWidth="1"/>
    <col min="7" max="7" width="25" customWidth="1"/>
    <col min="8" max="8" width="21.33203125" style="28" customWidth="1"/>
    <col min="9" max="9" width="24.5" style="28" customWidth="1"/>
    <col min="10" max="10" width="31.5" style="28" customWidth="1"/>
    <col min="11" max="11" width="20.6640625" style="337" customWidth="1"/>
    <col min="12" max="12" width="23.5" style="146" customWidth="1"/>
    <col min="16" max="16" width="45" customWidth="1"/>
  </cols>
  <sheetData>
    <row r="1" spans="7:17" ht="19" x14ac:dyDescent="0.25">
      <c r="G1" s="60" t="s">
        <v>187</v>
      </c>
      <c r="H1" s="60" t="s">
        <v>188</v>
      </c>
      <c r="I1" s="60" t="s">
        <v>189</v>
      </c>
      <c r="J1" s="60" t="s">
        <v>190</v>
      </c>
      <c r="K1" s="330" t="s">
        <v>3</v>
      </c>
      <c r="L1" s="137" t="s">
        <v>191</v>
      </c>
      <c r="M1" s="63"/>
      <c r="N1" s="63"/>
      <c r="O1" s="63"/>
      <c r="P1" s="63"/>
      <c r="Q1" s="65"/>
    </row>
    <row r="2" spans="7:17" ht="19" x14ac:dyDescent="0.25">
      <c r="G2" s="57" t="s">
        <v>31</v>
      </c>
      <c r="H2" s="57" t="s">
        <v>192</v>
      </c>
      <c r="I2" s="57" t="s">
        <v>193</v>
      </c>
      <c r="J2" s="57" t="s">
        <v>194</v>
      </c>
      <c r="K2" s="58" t="s">
        <v>195</v>
      </c>
      <c r="L2" s="138"/>
      <c r="M2" s="63"/>
      <c r="N2" s="63"/>
      <c r="O2" s="63"/>
      <c r="P2" s="63"/>
      <c r="Q2" s="65"/>
    </row>
    <row r="3" spans="7:17" ht="19" x14ac:dyDescent="0.25">
      <c r="G3" s="57" t="s">
        <v>31</v>
      </c>
      <c r="H3" s="57" t="s">
        <v>192</v>
      </c>
      <c r="I3" s="57" t="s">
        <v>196</v>
      </c>
      <c r="J3" s="57" t="s">
        <v>197</v>
      </c>
      <c r="K3" s="58">
        <v>45419</v>
      </c>
      <c r="L3" s="138"/>
      <c r="M3" s="63"/>
      <c r="N3" s="63"/>
      <c r="O3" s="63"/>
      <c r="P3" s="63"/>
      <c r="Q3" s="65"/>
    </row>
    <row r="4" spans="7:17" ht="16" x14ac:dyDescent="0.2">
      <c r="G4" s="57" t="s">
        <v>31</v>
      </c>
      <c r="H4" s="57" t="s">
        <v>198</v>
      </c>
      <c r="I4" s="57" t="s">
        <v>193</v>
      </c>
      <c r="J4" s="57" t="s">
        <v>199</v>
      </c>
      <c r="K4" s="58">
        <v>45572</v>
      </c>
      <c r="L4" s="138"/>
      <c r="M4" s="64"/>
      <c r="N4" s="64"/>
      <c r="O4" s="64"/>
      <c r="P4" s="64"/>
      <c r="Q4" s="65"/>
    </row>
    <row r="5" spans="7:17" ht="16" x14ac:dyDescent="0.2">
      <c r="G5" s="57" t="s">
        <v>31</v>
      </c>
      <c r="H5" s="57" t="s">
        <v>192</v>
      </c>
      <c r="I5" s="57" t="s">
        <v>196</v>
      </c>
      <c r="J5" s="57" t="s">
        <v>200</v>
      </c>
      <c r="K5" s="58" t="s">
        <v>201</v>
      </c>
      <c r="L5" s="138"/>
      <c r="M5" s="64"/>
      <c r="N5" s="64"/>
      <c r="O5" s="64"/>
      <c r="P5" s="64"/>
      <c r="Q5" s="65"/>
    </row>
    <row r="6" spans="7:17" ht="16" x14ac:dyDescent="0.2">
      <c r="G6" s="57" t="s">
        <v>120</v>
      </c>
      <c r="H6" s="57" t="s">
        <v>202</v>
      </c>
      <c r="I6" s="57" t="s">
        <v>121</v>
      </c>
      <c r="J6" s="57" t="s">
        <v>203</v>
      </c>
      <c r="K6" s="58" t="s">
        <v>204</v>
      </c>
      <c r="L6" s="138"/>
      <c r="M6" s="64"/>
      <c r="N6" s="64"/>
      <c r="O6" s="64"/>
      <c r="P6" s="64"/>
      <c r="Q6" s="65"/>
    </row>
    <row r="7" spans="7:17" ht="16" x14ac:dyDescent="0.2">
      <c r="G7" s="57" t="s">
        <v>120</v>
      </c>
      <c r="H7" s="57" t="s">
        <v>205</v>
      </c>
      <c r="I7" s="57" t="s">
        <v>119</v>
      </c>
      <c r="J7" s="57" t="s">
        <v>206</v>
      </c>
      <c r="K7" s="58" t="s">
        <v>204</v>
      </c>
      <c r="L7" s="138"/>
      <c r="M7" s="64"/>
      <c r="N7" s="64"/>
      <c r="O7" s="64"/>
      <c r="P7" s="64"/>
      <c r="Q7" s="65"/>
    </row>
    <row r="8" spans="7:17" ht="16" x14ac:dyDescent="0.2">
      <c r="G8" s="57" t="s">
        <v>31</v>
      </c>
      <c r="H8" s="57" t="s">
        <v>207</v>
      </c>
      <c r="I8" s="57" t="s">
        <v>208</v>
      </c>
      <c r="J8" s="57" t="s">
        <v>209</v>
      </c>
      <c r="K8" s="58" t="s">
        <v>210</v>
      </c>
      <c r="L8" s="138"/>
      <c r="M8" s="64"/>
      <c r="N8" s="64"/>
      <c r="O8" s="64"/>
      <c r="P8" s="64"/>
      <c r="Q8" s="65"/>
    </row>
    <row r="9" spans="7:17" ht="16" x14ac:dyDescent="0.2">
      <c r="G9" s="57" t="s">
        <v>31</v>
      </c>
      <c r="H9" s="57" t="s">
        <v>211</v>
      </c>
      <c r="I9" s="57" t="s">
        <v>193</v>
      </c>
      <c r="J9" s="57" t="s">
        <v>212</v>
      </c>
      <c r="K9" s="58" t="s">
        <v>210</v>
      </c>
      <c r="L9" s="138"/>
      <c r="M9" s="64"/>
      <c r="N9" s="64"/>
      <c r="O9" s="64"/>
      <c r="P9" s="64"/>
      <c r="Q9" s="65"/>
    </row>
    <row r="10" spans="7:17" ht="16" x14ac:dyDescent="0.2">
      <c r="G10" s="57" t="s">
        <v>120</v>
      </c>
      <c r="H10" s="57" t="s">
        <v>213</v>
      </c>
      <c r="I10" s="57" t="s">
        <v>119</v>
      </c>
      <c r="J10" s="57" t="s">
        <v>214</v>
      </c>
      <c r="K10" s="58" t="s">
        <v>215</v>
      </c>
      <c r="L10" s="138"/>
      <c r="M10" s="64"/>
      <c r="N10" s="64"/>
      <c r="O10" s="64"/>
      <c r="P10" s="64"/>
      <c r="Q10" s="65"/>
    </row>
    <row r="11" spans="7:17" ht="16" x14ac:dyDescent="0.2">
      <c r="G11" s="57" t="s">
        <v>43</v>
      </c>
      <c r="H11" s="57" t="s">
        <v>207</v>
      </c>
      <c r="I11" s="57" t="s">
        <v>44</v>
      </c>
      <c r="J11" s="57" t="s">
        <v>216</v>
      </c>
      <c r="K11" s="58" t="s">
        <v>217</v>
      </c>
      <c r="L11" s="138"/>
      <c r="M11" s="64"/>
      <c r="N11" s="64"/>
      <c r="O11" s="64"/>
      <c r="P11" s="64"/>
      <c r="Q11" s="65"/>
    </row>
    <row r="12" spans="7:17" ht="16" x14ac:dyDescent="0.2">
      <c r="G12" s="57" t="s">
        <v>120</v>
      </c>
      <c r="H12" s="57" t="s">
        <v>205</v>
      </c>
      <c r="I12" s="57" t="s">
        <v>121</v>
      </c>
      <c r="J12" s="57" t="s">
        <v>218</v>
      </c>
      <c r="K12" s="58" t="s">
        <v>217</v>
      </c>
      <c r="L12" s="138"/>
      <c r="M12" s="64"/>
      <c r="N12" s="64"/>
      <c r="O12" s="64"/>
      <c r="P12" s="64"/>
      <c r="Q12" s="65"/>
    </row>
    <row r="13" spans="7:17" ht="16" x14ac:dyDescent="0.2">
      <c r="G13" s="57" t="s">
        <v>26</v>
      </c>
      <c r="H13" s="57" t="s">
        <v>205</v>
      </c>
      <c r="I13" s="57" t="s">
        <v>219</v>
      </c>
      <c r="J13" s="57" t="s">
        <v>220</v>
      </c>
      <c r="K13" s="58" t="s">
        <v>221</v>
      </c>
      <c r="L13" s="138"/>
      <c r="M13" s="64"/>
      <c r="N13" s="64"/>
      <c r="O13" s="64"/>
      <c r="P13" s="64"/>
      <c r="Q13" s="65"/>
    </row>
    <row r="14" spans="7:17" x14ac:dyDescent="0.2">
      <c r="G14" s="57" t="s">
        <v>31</v>
      </c>
      <c r="H14" s="57" t="s">
        <v>207</v>
      </c>
      <c r="I14" s="57" t="s">
        <v>208</v>
      </c>
      <c r="J14" s="57" t="s">
        <v>222</v>
      </c>
      <c r="K14" s="58" t="s">
        <v>223</v>
      </c>
      <c r="L14" s="138"/>
      <c r="M14" s="65"/>
      <c r="N14" s="65"/>
      <c r="O14" s="65"/>
      <c r="P14" s="65"/>
      <c r="Q14" s="65"/>
    </row>
    <row r="15" spans="7:17" x14ac:dyDescent="0.2">
      <c r="G15" s="54" t="s">
        <v>128</v>
      </c>
      <c r="H15" s="54" t="s">
        <v>128</v>
      </c>
      <c r="I15" s="54" t="s">
        <v>128</v>
      </c>
      <c r="J15" s="54" t="s">
        <v>128</v>
      </c>
      <c r="K15" s="59" t="s">
        <v>128</v>
      </c>
      <c r="L15" s="139"/>
      <c r="M15" s="65"/>
      <c r="N15" s="65"/>
      <c r="O15" s="65"/>
      <c r="P15" s="65"/>
      <c r="Q15" s="65"/>
    </row>
    <row r="16" spans="7:17" x14ac:dyDescent="0.2">
      <c r="G16" s="55" t="s">
        <v>43</v>
      </c>
      <c r="H16" s="55" t="s">
        <v>205</v>
      </c>
      <c r="I16" s="55" t="s">
        <v>89</v>
      </c>
      <c r="J16" s="55" t="s">
        <v>224</v>
      </c>
      <c r="K16" s="56">
        <v>45299</v>
      </c>
      <c r="L16" s="138"/>
    </row>
    <row r="17" spans="7:12" x14ac:dyDescent="0.2">
      <c r="G17" s="55" t="s">
        <v>225</v>
      </c>
      <c r="H17" s="55" t="s">
        <v>205</v>
      </c>
      <c r="I17" s="55" t="s">
        <v>56</v>
      </c>
      <c r="J17" s="55" t="s">
        <v>226</v>
      </c>
      <c r="K17" s="56">
        <v>45330</v>
      </c>
      <c r="L17" s="138"/>
    </row>
    <row r="18" spans="7:12" x14ac:dyDescent="0.2">
      <c r="G18" s="55" t="s">
        <v>43</v>
      </c>
      <c r="H18" s="55" t="s">
        <v>198</v>
      </c>
      <c r="I18" s="55" t="s">
        <v>49</v>
      </c>
      <c r="J18" s="55" t="s">
        <v>227</v>
      </c>
      <c r="K18" s="56">
        <v>45330</v>
      </c>
      <c r="L18" s="138"/>
    </row>
    <row r="19" spans="7:12" x14ac:dyDescent="0.2">
      <c r="G19" s="55" t="s">
        <v>43</v>
      </c>
      <c r="H19" s="55" t="s">
        <v>205</v>
      </c>
      <c r="I19" s="55" t="s">
        <v>44</v>
      </c>
      <c r="J19" s="55" t="s">
        <v>228</v>
      </c>
      <c r="K19" s="56">
        <v>45420</v>
      </c>
      <c r="L19" s="138"/>
    </row>
    <row r="20" spans="7:12" x14ac:dyDescent="0.2">
      <c r="G20" s="55" t="s">
        <v>26</v>
      </c>
      <c r="H20" s="55" t="s">
        <v>205</v>
      </c>
      <c r="I20" s="55" t="s">
        <v>117</v>
      </c>
      <c r="J20" s="55" t="s">
        <v>229</v>
      </c>
      <c r="K20" s="56">
        <v>45451</v>
      </c>
      <c r="L20" s="138"/>
    </row>
    <row r="21" spans="7:12" x14ac:dyDescent="0.2">
      <c r="G21" s="55" t="s">
        <v>43</v>
      </c>
      <c r="H21" s="55" t="s">
        <v>230</v>
      </c>
      <c r="I21" s="55" t="s">
        <v>89</v>
      </c>
      <c r="J21" s="55" t="s">
        <v>231</v>
      </c>
      <c r="K21" s="56">
        <v>45451</v>
      </c>
      <c r="L21" s="138"/>
    </row>
    <row r="22" spans="7:12" x14ac:dyDescent="0.2">
      <c r="G22" s="55" t="s">
        <v>31</v>
      </c>
      <c r="H22" s="55" t="s">
        <v>207</v>
      </c>
      <c r="I22" s="55" t="s">
        <v>208</v>
      </c>
      <c r="J22" s="55" t="s">
        <v>232</v>
      </c>
      <c r="K22" s="56">
        <v>45481</v>
      </c>
      <c r="L22" s="138"/>
    </row>
    <row r="23" spans="7:12" x14ac:dyDescent="0.2">
      <c r="G23" s="55" t="s">
        <v>26</v>
      </c>
      <c r="H23" s="55" t="s">
        <v>230</v>
      </c>
      <c r="I23" s="55" t="s">
        <v>219</v>
      </c>
      <c r="J23" s="55" t="s">
        <v>233</v>
      </c>
      <c r="K23" s="56">
        <v>45512</v>
      </c>
      <c r="L23" s="138"/>
    </row>
    <row r="24" spans="7:12" x14ac:dyDescent="0.2">
      <c r="G24" s="55" t="s">
        <v>120</v>
      </c>
      <c r="H24" s="55" t="s">
        <v>192</v>
      </c>
      <c r="I24" s="55" t="s">
        <v>121</v>
      </c>
      <c r="J24" s="55" t="s">
        <v>234</v>
      </c>
      <c r="K24" s="56">
        <v>45634</v>
      </c>
      <c r="L24" s="138"/>
    </row>
    <row r="25" spans="7:12" x14ac:dyDescent="0.2">
      <c r="G25" s="55" t="s">
        <v>120</v>
      </c>
      <c r="H25" s="55" t="s">
        <v>230</v>
      </c>
      <c r="I25" s="55" t="s">
        <v>119</v>
      </c>
      <c r="J25" s="55" t="s">
        <v>235</v>
      </c>
      <c r="K25" s="56" t="s">
        <v>236</v>
      </c>
      <c r="L25" s="138"/>
    </row>
    <row r="26" spans="7:12" x14ac:dyDescent="0.2">
      <c r="G26" s="55" t="s">
        <v>43</v>
      </c>
      <c r="H26" s="55" t="s">
        <v>205</v>
      </c>
      <c r="I26" s="55" t="s">
        <v>66</v>
      </c>
      <c r="J26" s="55" t="s">
        <v>237</v>
      </c>
      <c r="K26" s="56" t="s">
        <v>238</v>
      </c>
      <c r="L26" s="138"/>
    </row>
    <row r="27" spans="7:12" x14ac:dyDescent="0.2">
      <c r="G27" s="54"/>
      <c r="H27" s="54"/>
      <c r="I27" s="54"/>
      <c r="J27" s="54"/>
      <c r="K27" s="59"/>
      <c r="L27" s="139"/>
    </row>
    <row r="28" spans="7:12" x14ac:dyDescent="0.2">
      <c r="G28" s="55" t="s">
        <v>31</v>
      </c>
      <c r="H28" s="55" t="s">
        <v>207</v>
      </c>
      <c r="I28" s="55" t="s">
        <v>208</v>
      </c>
      <c r="J28" s="55" t="s">
        <v>209</v>
      </c>
      <c r="K28" s="56">
        <v>45331</v>
      </c>
      <c r="L28" s="138"/>
    </row>
    <row r="29" spans="7:12" x14ac:dyDescent="0.2">
      <c r="G29" s="55" t="s">
        <v>225</v>
      </c>
      <c r="H29" s="55" t="s">
        <v>230</v>
      </c>
      <c r="I29" s="55" t="s">
        <v>74</v>
      </c>
      <c r="J29" s="55" t="s">
        <v>239</v>
      </c>
      <c r="K29" s="56">
        <v>45537</v>
      </c>
      <c r="L29" s="138"/>
    </row>
    <row r="30" spans="7:12" x14ac:dyDescent="0.2">
      <c r="G30" s="55" t="s">
        <v>225</v>
      </c>
      <c r="H30" s="55" t="s">
        <v>205</v>
      </c>
      <c r="I30" s="55" t="s">
        <v>56</v>
      </c>
      <c r="J30" s="55" t="s">
        <v>240</v>
      </c>
      <c r="K30" s="56">
        <v>45538</v>
      </c>
      <c r="L30" s="138"/>
    </row>
    <row r="31" spans="7:12" x14ac:dyDescent="0.2">
      <c r="G31" s="55" t="s">
        <v>31</v>
      </c>
      <c r="H31" s="55" t="s">
        <v>198</v>
      </c>
      <c r="I31" s="55" t="s">
        <v>196</v>
      </c>
      <c r="J31" s="55" t="s">
        <v>241</v>
      </c>
      <c r="K31" s="56">
        <v>45574</v>
      </c>
      <c r="L31" s="138"/>
    </row>
    <row r="32" spans="7:12" x14ac:dyDescent="0.2">
      <c r="G32" s="55" t="s">
        <v>225</v>
      </c>
      <c r="H32" s="55" t="s">
        <v>230</v>
      </c>
      <c r="I32" s="55" t="s">
        <v>49</v>
      </c>
      <c r="J32" s="55" t="s">
        <v>242</v>
      </c>
      <c r="K32" s="56">
        <v>45545</v>
      </c>
      <c r="L32" s="140"/>
    </row>
    <row r="33" spans="7:12" x14ac:dyDescent="0.2">
      <c r="G33" s="55" t="s">
        <v>225</v>
      </c>
      <c r="H33" s="55" t="s">
        <v>230</v>
      </c>
      <c r="I33" s="55" t="s">
        <v>74</v>
      </c>
      <c r="J33" s="55" t="s">
        <v>243</v>
      </c>
      <c r="K33" s="56">
        <v>45547</v>
      </c>
      <c r="L33" s="140"/>
    </row>
    <row r="34" spans="7:12" x14ac:dyDescent="0.2">
      <c r="G34" s="55" t="s">
        <v>225</v>
      </c>
      <c r="H34" s="55" t="s">
        <v>230</v>
      </c>
      <c r="I34" s="55" t="s">
        <v>89</v>
      </c>
      <c r="J34" s="55" t="s">
        <v>244</v>
      </c>
      <c r="K34" s="56">
        <v>45548</v>
      </c>
      <c r="L34" s="140"/>
    </row>
    <row r="35" spans="7:12" x14ac:dyDescent="0.2">
      <c r="G35" s="55" t="s">
        <v>31</v>
      </c>
      <c r="H35" s="55" t="s">
        <v>205</v>
      </c>
      <c r="I35" s="55" t="s">
        <v>208</v>
      </c>
      <c r="J35" s="55" t="s">
        <v>245</v>
      </c>
      <c r="K35" s="56" t="s">
        <v>246</v>
      </c>
      <c r="L35" s="138"/>
    </row>
    <row r="36" spans="7:12" x14ac:dyDescent="0.2">
      <c r="G36" s="55" t="s">
        <v>31</v>
      </c>
      <c r="H36" s="55" t="s">
        <v>192</v>
      </c>
      <c r="I36" s="55" t="s">
        <v>193</v>
      </c>
      <c r="J36" s="55" t="s">
        <v>247</v>
      </c>
      <c r="K36" s="56" t="s">
        <v>248</v>
      </c>
      <c r="L36" s="138"/>
    </row>
    <row r="37" spans="7:12" x14ac:dyDescent="0.2">
      <c r="G37" s="55" t="s">
        <v>225</v>
      </c>
      <c r="H37" s="55" t="s">
        <v>213</v>
      </c>
      <c r="I37" s="55" t="s">
        <v>44</v>
      </c>
      <c r="J37" s="55" t="s">
        <v>249</v>
      </c>
      <c r="K37" s="56">
        <v>45554</v>
      </c>
      <c r="L37" s="140"/>
    </row>
    <row r="38" spans="7:12" x14ac:dyDescent="0.2">
      <c r="G38" s="55" t="s">
        <v>225</v>
      </c>
      <c r="H38" s="55" t="s">
        <v>250</v>
      </c>
      <c r="I38" s="55" t="s">
        <v>49</v>
      </c>
      <c r="J38" s="55" t="s">
        <v>251</v>
      </c>
      <c r="K38" s="56">
        <v>45537</v>
      </c>
      <c r="L38" s="140"/>
    </row>
    <row r="39" spans="7:12" x14ac:dyDescent="0.2">
      <c r="G39" s="55" t="s">
        <v>31</v>
      </c>
      <c r="H39" s="55" t="s">
        <v>192</v>
      </c>
      <c r="I39" s="55" t="s">
        <v>208</v>
      </c>
      <c r="J39" s="55" t="s">
        <v>252</v>
      </c>
      <c r="K39" s="56" t="s">
        <v>253</v>
      </c>
      <c r="L39" s="138"/>
    </row>
    <row r="40" spans="7:12" x14ac:dyDescent="0.2">
      <c r="G40" s="55" t="s">
        <v>225</v>
      </c>
      <c r="H40" s="55" t="s">
        <v>198</v>
      </c>
      <c r="I40" s="55" t="s">
        <v>73</v>
      </c>
      <c r="J40" s="55" t="s">
        <v>254</v>
      </c>
      <c r="K40" s="56">
        <v>45301</v>
      </c>
      <c r="L40" s="140"/>
    </row>
    <row r="41" spans="7:12" x14ac:dyDescent="0.2">
      <c r="G41" s="55" t="s">
        <v>31</v>
      </c>
      <c r="H41" s="55" t="s">
        <v>198</v>
      </c>
      <c r="I41" s="55" t="s">
        <v>196</v>
      </c>
      <c r="J41" s="55" t="s">
        <v>255</v>
      </c>
      <c r="K41" s="56">
        <v>45332</v>
      </c>
      <c r="L41" s="138"/>
    </row>
    <row r="42" spans="7:12" x14ac:dyDescent="0.2">
      <c r="G42" s="55" t="s">
        <v>31</v>
      </c>
      <c r="H42" s="55" t="s">
        <v>207</v>
      </c>
      <c r="I42" s="55" t="s">
        <v>208</v>
      </c>
      <c r="J42" s="55" t="s">
        <v>256</v>
      </c>
      <c r="K42" s="56">
        <v>45392</v>
      </c>
      <c r="L42" s="138"/>
    </row>
    <row r="43" spans="7:12" x14ac:dyDescent="0.2">
      <c r="G43" s="55" t="s">
        <v>225</v>
      </c>
      <c r="H43" s="55" t="s">
        <v>257</v>
      </c>
      <c r="I43" s="55" t="s">
        <v>49</v>
      </c>
      <c r="J43" s="55" t="s">
        <v>258</v>
      </c>
      <c r="K43" s="56">
        <v>45545</v>
      </c>
      <c r="L43" s="140"/>
    </row>
    <row r="44" spans="7:12" x14ac:dyDescent="0.2">
      <c r="G44" s="55" t="s">
        <v>225</v>
      </c>
      <c r="H44" s="55" t="s">
        <v>257</v>
      </c>
      <c r="I44" s="55" t="s">
        <v>49</v>
      </c>
      <c r="J44" s="55" t="s">
        <v>259</v>
      </c>
      <c r="K44" s="56">
        <v>45545</v>
      </c>
      <c r="L44" s="140"/>
    </row>
    <row r="45" spans="7:12" x14ac:dyDescent="0.2">
      <c r="G45" s="55" t="s">
        <v>225</v>
      </c>
      <c r="H45" s="55" t="s">
        <v>250</v>
      </c>
      <c r="I45" s="55" t="s">
        <v>44</v>
      </c>
      <c r="J45" s="55" t="s">
        <v>260</v>
      </c>
      <c r="K45" s="56">
        <v>45575</v>
      </c>
      <c r="L45" s="140"/>
    </row>
    <row r="46" spans="7:12" x14ac:dyDescent="0.2">
      <c r="G46" s="55" t="s">
        <v>31</v>
      </c>
      <c r="H46" s="55" t="s">
        <v>192</v>
      </c>
      <c r="I46" s="55" t="s">
        <v>196</v>
      </c>
      <c r="J46" s="55" t="s">
        <v>261</v>
      </c>
      <c r="K46" s="56" t="s">
        <v>262</v>
      </c>
      <c r="L46" s="138"/>
    </row>
    <row r="47" spans="7:12" x14ac:dyDescent="0.2">
      <c r="G47" s="55" t="s">
        <v>225</v>
      </c>
      <c r="H47" s="55" t="s">
        <v>213</v>
      </c>
      <c r="I47" s="55" t="s">
        <v>89</v>
      </c>
      <c r="J47" s="55" t="s">
        <v>263</v>
      </c>
      <c r="K47" s="56" t="s">
        <v>264</v>
      </c>
      <c r="L47" s="140"/>
    </row>
    <row r="48" spans="7:12" x14ac:dyDescent="0.2">
      <c r="G48" s="55" t="s">
        <v>225</v>
      </c>
      <c r="H48" s="55" t="s">
        <v>198</v>
      </c>
      <c r="I48" s="55" t="s">
        <v>73</v>
      </c>
      <c r="J48" s="55" t="s">
        <v>265</v>
      </c>
      <c r="K48" s="56" t="s">
        <v>264</v>
      </c>
      <c r="L48" s="140"/>
    </row>
    <row r="49" spans="7:12" x14ac:dyDescent="0.2">
      <c r="G49" s="55" t="s">
        <v>225</v>
      </c>
      <c r="H49" s="55" t="s">
        <v>266</v>
      </c>
      <c r="I49" s="55" t="s">
        <v>73</v>
      </c>
      <c r="J49" s="55" t="s">
        <v>267</v>
      </c>
      <c r="K49" s="56" t="s">
        <v>268</v>
      </c>
      <c r="L49" s="140"/>
    </row>
    <row r="50" spans="7:12" x14ac:dyDescent="0.2">
      <c r="G50" s="55" t="s">
        <v>225</v>
      </c>
      <c r="H50" s="55" t="s">
        <v>250</v>
      </c>
      <c r="I50" s="55" t="s">
        <v>73</v>
      </c>
      <c r="J50" s="55" t="s">
        <v>269</v>
      </c>
      <c r="K50" s="56" t="s">
        <v>270</v>
      </c>
      <c r="L50" s="140"/>
    </row>
    <row r="51" spans="7:12" x14ac:dyDescent="0.2">
      <c r="G51" s="55" t="s">
        <v>31</v>
      </c>
      <c r="H51" s="55" t="s">
        <v>205</v>
      </c>
      <c r="I51" s="55" t="s">
        <v>208</v>
      </c>
      <c r="J51" s="55" t="s">
        <v>271</v>
      </c>
      <c r="K51" s="56" t="s">
        <v>272</v>
      </c>
      <c r="L51" s="138"/>
    </row>
    <row r="52" spans="7:12" x14ac:dyDescent="0.2">
      <c r="G52" s="55" t="s">
        <v>31</v>
      </c>
      <c r="H52" s="55" t="s">
        <v>273</v>
      </c>
      <c r="I52" s="55" t="s">
        <v>196</v>
      </c>
      <c r="J52" s="55" t="s">
        <v>274</v>
      </c>
      <c r="K52" s="56" t="s">
        <v>272</v>
      </c>
      <c r="L52" s="138"/>
    </row>
    <row r="53" spans="7:12" x14ac:dyDescent="0.2">
      <c r="G53" s="55" t="s">
        <v>31</v>
      </c>
      <c r="H53" s="55" t="s">
        <v>192</v>
      </c>
      <c r="I53" s="55" t="s">
        <v>193</v>
      </c>
      <c r="J53" s="55" t="s">
        <v>247</v>
      </c>
      <c r="K53" s="56" t="s">
        <v>275</v>
      </c>
      <c r="L53" s="138"/>
    </row>
    <row r="54" spans="7:12" x14ac:dyDescent="0.2">
      <c r="G54" s="55" t="s">
        <v>31</v>
      </c>
      <c r="H54" s="55" t="s">
        <v>273</v>
      </c>
      <c r="I54" s="55" t="s">
        <v>196</v>
      </c>
      <c r="J54" s="55" t="s">
        <v>276</v>
      </c>
      <c r="K54" s="56" t="s">
        <v>275</v>
      </c>
      <c r="L54" s="138"/>
    </row>
    <row r="55" spans="7:12" x14ac:dyDescent="0.2">
      <c r="G55" s="55" t="s">
        <v>43</v>
      </c>
      <c r="H55" s="55" t="s">
        <v>230</v>
      </c>
      <c r="I55" s="55" t="s">
        <v>277</v>
      </c>
      <c r="J55" s="55" t="s">
        <v>278</v>
      </c>
      <c r="K55" s="56" t="s">
        <v>279</v>
      </c>
      <c r="L55" s="140"/>
    </row>
    <row r="56" spans="7:12" x14ac:dyDescent="0.2">
      <c r="G56" s="55" t="s">
        <v>225</v>
      </c>
      <c r="H56" s="55" t="s">
        <v>250</v>
      </c>
      <c r="I56" s="55" t="s">
        <v>41</v>
      </c>
      <c r="J56" s="55" t="s">
        <v>280</v>
      </c>
      <c r="K56" s="56" t="s">
        <v>281</v>
      </c>
      <c r="L56" s="140"/>
    </row>
    <row r="57" spans="7:12" x14ac:dyDescent="0.2">
      <c r="G57" s="55" t="s">
        <v>31</v>
      </c>
      <c r="H57" s="55" t="s">
        <v>273</v>
      </c>
      <c r="I57" s="55" t="s">
        <v>196</v>
      </c>
      <c r="J57" s="55" t="s">
        <v>282</v>
      </c>
      <c r="K57" s="56" t="s">
        <v>268</v>
      </c>
      <c r="L57" s="138"/>
    </row>
    <row r="58" spans="7:12" x14ac:dyDescent="0.2">
      <c r="G58" s="55" t="s">
        <v>31</v>
      </c>
      <c r="H58" s="55" t="s">
        <v>257</v>
      </c>
      <c r="I58" s="55" t="s">
        <v>196</v>
      </c>
      <c r="J58" s="55" t="s">
        <v>283</v>
      </c>
      <c r="K58" s="56">
        <v>45484</v>
      </c>
      <c r="L58" s="138"/>
    </row>
    <row r="59" spans="7:12" x14ac:dyDescent="0.2">
      <c r="G59" s="55" t="s">
        <v>31</v>
      </c>
      <c r="H59" s="55" t="s">
        <v>257</v>
      </c>
      <c r="I59" s="55" t="s">
        <v>196</v>
      </c>
      <c r="J59" s="55" t="s">
        <v>284</v>
      </c>
      <c r="K59" s="56">
        <v>45515</v>
      </c>
      <c r="L59" s="138"/>
    </row>
    <row r="60" spans="7:12" x14ac:dyDescent="0.2">
      <c r="G60" s="55" t="s">
        <v>31</v>
      </c>
      <c r="H60" s="55" t="s">
        <v>257</v>
      </c>
      <c r="I60" s="55" t="s">
        <v>196</v>
      </c>
      <c r="J60" s="55" t="s">
        <v>285</v>
      </c>
      <c r="K60" s="56">
        <v>45607</v>
      </c>
      <c r="L60" s="140"/>
    </row>
    <row r="61" spans="7:12" x14ac:dyDescent="0.2">
      <c r="G61" s="55" t="s">
        <v>31</v>
      </c>
      <c r="H61" s="55" t="s">
        <v>286</v>
      </c>
      <c r="I61" s="55" t="s">
        <v>92</v>
      </c>
      <c r="J61" s="55" t="s">
        <v>287</v>
      </c>
      <c r="K61" s="56">
        <v>45515</v>
      </c>
      <c r="L61" s="138">
        <v>4</v>
      </c>
    </row>
    <row r="62" spans="7:12" x14ac:dyDescent="0.2">
      <c r="G62" s="55" t="s">
        <v>38</v>
      </c>
      <c r="H62" s="55" t="s">
        <v>288</v>
      </c>
      <c r="I62" s="55" t="s">
        <v>39</v>
      </c>
      <c r="J62" s="55" t="s">
        <v>289</v>
      </c>
      <c r="K62" s="116">
        <v>45514</v>
      </c>
      <c r="L62" s="140"/>
    </row>
    <row r="63" spans="7:12" x14ac:dyDescent="0.2">
      <c r="G63" s="55" t="s">
        <v>38</v>
      </c>
      <c r="H63" s="55" t="s">
        <v>192</v>
      </c>
      <c r="I63" s="55" t="s">
        <v>39</v>
      </c>
      <c r="J63" s="55" t="s">
        <v>290</v>
      </c>
      <c r="K63" s="56">
        <v>45545</v>
      </c>
      <c r="L63" s="140"/>
    </row>
    <row r="64" spans="7:12" x14ac:dyDescent="0.2">
      <c r="G64" s="55" t="s">
        <v>38</v>
      </c>
      <c r="H64" s="55" t="s">
        <v>192</v>
      </c>
      <c r="I64" s="55" t="s">
        <v>39</v>
      </c>
      <c r="J64" s="55" t="s">
        <v>291</v>
      </c>
      <c r="K64" s="56" t="s">
        <v>268</v>
      </c>
      <c r="L64" s="140"/>
    </row>
    <row r="65" spans="7:12" x14ac:dyDescent="0.2">
      <c r="G65" s="55" t="s">
        <v>38</v>
      </c>
      <c r="H65" s="55" t="s">
        <v>192</v>
      </c>
      <c r="I65" s="55" t="s">
        <v>39</v>
      </c>
      <c r="J65" s="55" t="s">
        <v>292</v>
      </c>
      <c r="K65" s="56">
        <v>45515</v>
      </c>
      <c r="L65" s="140"/>
    </row>
    <row r="66" spans="7:12" x14ac:dyDescent="0.2">
      <c r="G66" s="55" t="s">
        <v>38</v>
      </c>
      <c r="H66" s="55" t="s">
        <v>293</v>
      </c>
      <c r="I66" s="55" t="s">
        <v>115</v>
      </c>
      <c r="J66" s="55" t="s">
        <v>294</v>
      </c>
      <c r="K66" s="56"/>
      <c r="L66" s="140"/>
    </row>
    <row r="67" spans="7:12" x14ac:dyDescent="0.2">
      <c r="G67" s="55" t="s">
        <v>38</v>
      </c>
      <c r="H67" s="55" t="s">
        <v>295</v>
      </c>
      <c r="I67" s="55" t="s">
        <v>115</v>
      </c>
      <c r="J67" s="55" t="s">
        <v>296</v>
      </c>
      <c r="K67" s="56" t="s">
        <v>297</v>
      </c>
      <c r="L67" s="140"/>
    </row>
    <row r="68" spans="7:12" x14ac:dyDescent="0.2">
      <c r="G68" s="55" t="s">
        <v>38</v>
      </c>
      <c r="H68" s="55" t="s">
        <v>295</v>
      </c>
      <c r="I68" s="55" t="s">
        <v>115</v>
      </c>
      <c r="J68" s="55" t="s">
        <v>298</v>
      </c>
      <c r="K68" s="56">
        <v>45454</v>
      </c>
      <c r="L68" s="140"/>
    </row>
    <row r="69" spans="7:12" x14ac:dyDescent="0.2">
      <c r="G69" s="118" t="s">
        <v>26</v>
      </c>
      <c r="H69" s="118" t="s">
        <v>250</v>
      </c>
      <c r="I69" s="118" t="s">
        <v>299</v>
      </c>
      <c r="J69" s="118" t="s">
        <v>300</v>
      </c>
      <c r="K69" s="121" t="s">
        <v>268</v>
      </c>
      <c r="L69" s="141"/>
    </row>
    <row r="70" spans="7:12" x14ac:dyDescent="0.2">
      <c r="G70" s="118" t="s">
        <v>26</v>
      </c>
      <c r="H70" s="118" t="s">
        <v>250</v>
      </c>
      <c r="I70" s="118" t="s">
        <v>299</v>
      </c>
      <c r="J70" s="118" t="s">
        <v>301</v>
      </c>
      <c r="K70" s="121" t="s">
        <v>302</v>
      </c>
      <c r="L70" s="141"/>
    </row>
    <row r="71" spans="7:12" x14ac:dyDescent="0.2">
      <c r="G71" s="118" t="s">
        <v>26</v>
      </c>
      <c r="H71" s="118" t="s">
        <v>250</v>
      </c>
      <c r="I71" s="118" t="s">
        <v>299</v>
      </c>
      <c r="J71" s="118" t="s">
        <v>303</v>
      </c>
      <c r="K71" s="121" t="s">
        <v>304</v>
      </c>
      <c r="L71" s="141"/>
    </row>
    <row r="72" spans="7:12" x14ac:dyDescent="0.2">
      <c r="G72" s="118" t="s">
        <v>26</v>
      </c>
      <c r="H72" s="118" t="s">
        <v>205</v>
      </c>
      <c r="I72" s="118" t="s">
        <v>90</v>
      </c>
      <c r="J72" s="118" t="s">
        <v>305</v>
      </c>
      <c r="K72" s="121" t="s">
        <v>306</v>
      </c>
      <c r="L72" s="141"/>
    </row>
    <row r="73" spans="7:12" x14ac:dyDescent="0.2">
      <c r="G73" s="118" t="s">
        <v>26</v>
      </c>
      <c r="H73" s="118" t="s">
        <v>205</v>
      </c>
      <c r="I73" s="118" t="s">
        <v>47</v>
      </c>
      <c r="J73" s="118" t="s">
        <v>307</v>
      </c>
      <c r="K73" s="121" t="s">
        <v>248</v>
      </c>
      <c r="L73" s="141"/>
    </row>
    <row r="74" spans="7:12" x14ac:dyDescent="0.2">
      <c r="G74" s="118" t="s">
        <v>26</v>
      </c>
      <c r="H74" s="118" t="s">
        <v>250</v>
      </c>
      <c r="I74" s="118" t="s">
        <v>299</v>
      </c>
      <c r="J74" s="118" t="s">
        <v>308</v>
      </c>
      <c r="K74" s="121">
        <v>45635</v>
      </c>
      <c r="L74" s="141"/>
    </row>
    <row r="75" spans="7:12" x14ac:dyDescent="0.2">
      <c r="G75" s="118" t="s">
        <v>26</v>
      </c>
      <c r="H75" s="118" t="s">
        <v>230</v>
      </c>
      <c r="I75" s="118" t="s">
        <v>309</v>
      </c>
      <c r="J75" s="118" t="s">
        <v>310</v>
      </c>
      <c r="K75" s="121">
        <v>45481</v>
      </c>
      <c r="L75" s="141"/>
    </row>
    <row r="76" spans="7:12" x14ac:dyDescent="0.2">
      <c r="G76" s="118" t="s">
        <v>26</v>
      </c>
      <c r="H76" s="118" t="s">
        <v>230</v>
      </c>
      <c r="I76" s="118" t="s">
        <v>311</v>
      </c>
      <c r="J76" s="118" t="s">
        <v>229</v>
      </c>
      <c r="K76" s="121" t="s">
        <v>312</v>
      </c>
      <c r="L76" s="141"/>
    </row>
    <row r="77" spans="7:12" x14ac:dyDescent="0.2">
      <c r="G77" s="119" t="s">
        <v>26</v>
      </c>
      <c r="H77" s="119" t="s">
        <v>230</v>
      </c>
      <c r="I77" s="119" t="s">
        <v>311</v>
      </c>
      <c r="J77" s="121" t="s">
        <v>312</v>
      </c>
      <c r="K77" s="121" t="s">
        <v>312</v>
      </c>
      <c r="L77" s="142"/>
    </row>
    <row r="78" spans="7:12" x14ac:dyDescent="0.2">
      <c r="G78" s="119" t="s">
        <v>26</v>
      </c>
      <c r="H78" s="119" t="s">
        <v>230</v>
      </c>
      <c r="I78" s="119" t="s">
        <v>311</v>
      </c>
      <c r="J78" s="121" t="s">
        <v>312</v>
      </c>
      <c r="K78" s="121" t="s">
        <v>312</v>
      </c>
      <c r="L78" s="142"/>
    </row>
    <row r="79" spans="7:12" x14ac:dyDescent="0.2">
      <c r="G79" s="118" t="s">
        <v>26</v>
      </c>
      <c r="H79" s="118" t="s">
        <v>230</v>
      </c>
      <c r="I79" s="118" t="s">
        <v>311</v>
      </c>
      <c r="J79" s="121" t="s">
        <v>312</v>
      </c>
      <c r="K79" s="121" t="s">
        <v>312</v>
      </c>
      <c r="L79" s="141"/>
    </row>
    <row r="80" spans="7:12" x14ac:dyDescent="0.2">
      <c r="G80" s="118" t="s">
        <v>43</v>
      </c>
      <c r="H80" s="118" t="s">
        <v>230</v>
      </c>
      <c r="I80" s="118" t="s">
        <v>277</v>
      </c>
      <c r="J80" s="118" t="s">
        <v>313</v>
      </c>
      <c r="K80" s="121" t="s">
        <v>27</v>
      </c>
      <c r="L80" s="141"/>
    </row>
    <row r="81" spans="7:12" x14ac:dyDescent="0.2">
      <c r="G81" s="118" t="s">
        <v>43</v>
      </c>
      <c r="H81" s="118" t="s">
        <v>198</v>
      </c>
      <c r="I81" s="118" t="s">
        <v>277</v>
      </c>
      <c r="J81" s="118" t="s">
        <v>314</v>
      </c>
      <c r="K81" s="121" t="s">
        <v>27</v>
      </c>
      <c r="L81" s="141"/>
    </row>
    <row r="82" spans="7:12" x14ac:dyDescent="0.2">
      <c r="G82" s="118" t="s">
        <v>43</v>
      </c>
      <c r="H82" s="118" t="s">
        <v>230</v>
      </c>
      <c r="I82" s="118" t="s">
        <v>277</v>
      </c>
      <c r="J82" s="118" t="s">
        <v>315</v>
      </c>
      <c r="K82" s="121" t="s">
        <v>27</v>
      </c>
      <c r="L82" s="141"/>
    </row>
    <row r="83" spans="7:12" x14ac:dyDescent="0.2">
      <c r="G83" s="118" t="s">
        <v>43</v>
      </c>
      <c r="H83" s="118" t="s">
        <v>213</v>
      </c>
      <c r="I83" s="118" t="s">
        <v>277</v>
      </c>
      <c r="J83" s="118" t="s">
        <v>316</v>
      </c>
      <c r="K83" s="121" t="s">
        <v>27</v>
      </c>
      <c r="L83" s="141"/>
    </row>
    <row r="84" spans="7:12" x14ac:dyDescent="0.2">
      <c r="G84" s="118" t="s">
        <v>43</v>
      </c>
      <c r="H84" s="118" t="s">
        <v>317</v>
      </c>
      <c r="I84" s="118" t="s">
        <v>277</v>
      </c>
      <c r="J84" s="118" t="s">
        <v>318</v>
      </c>
      <c r="K84" s="121" t="s">
        <v>27</v>
      </c>
      <c r="L84" s="141"/>
    </row>
    <row r="85" spans="7:12" x14ac:dyDescent="0.2">
      <c r="G85" s="118" t="s">
        <v>43</v>
      </c>
      <c r="H85" s="118" t="s">
        <v>230</v>
      </c>
      <c r="I85" s="118" t="s">
        <v>49</v>
      </c>
      <c r="J85" s="118" t="s">
        <v>319</v>
      </c>
      <c r="K85" s="121" t="s">
        <v>27</v>
      </c>
      <c r="L85" s="141"/>
    </row>
    <row r="86" spans="7:12" x14ac:dyDescent="0.2">
      <c r="G86" s="118" t="s">
        <v>43</v>
      </c>
      <c r="H86" s="118" t="s">
        <v>207</v>
      </c>
      <c r="I86" s="118" t="s">
        <v>49</v>
      </c>
      <c r="J86" s="118" t="s">
        <v>320</v>
      </c>
      <c r="K86" s="121" t="s">
        <v>27</v>
      </c>
      <c r="L86" s="141"/>
    </row>
    <row r="87" spans="7:12" x14ac:dyDescent="0.2">
      <c r="G87" s="118" t="s">
        <v>43</v>
      </c>
      <c r="H87" s="118" t="s">
        <v>250</v>
      </c>
      <c r="I87" s="118" t="s">
        <v>49</v>
      </c>
      <c r="J87" s="118" t="s">
        <v>321</v>
      </c>
      <c r="K87" s="121" t="s">
        <v>27</v>
      </c>
      <c r="L87" s="141"/>
    </row>
    <row r="88" spans="7:12" x14ac:dyDescent="0.2">
      <c r="G88" s="118" t="s">
        <v>43</v>
      </c>
      <c r="H88" s="118" t="s">
        <v>250</v>
      </c>
      <c r="I88" s="118" t="s">
        <v>49</v>
      </c>
      <c r="J88" s="118" t="s">
        <v>251</v>
      </c>
      <c r="K88" s="121" t="s">
        <v>27</v>
      </c>
      <c r="L88" s="141"/>
    </row>
    <row r="89" spans="7:12" x14ac:dyDescent="0.2">
      <c r="G89" s="118" t="s">
        <v>43</v>
      </c>
      <c r="H89" s="118" t="s">
        <v>257</v>
      </c>
      <c r="I89" s="118" t="s">
        <v>49</v>
      </c>
      <c r="J89" s="118" t="s">
        <v>322</v>
      </c>
      <c r="K89" s="121" t="s">
        <v>27</v>
      </c>
      <c r="L89" s="141"/>
    </row>
    <row r="90" spans="7:12" x14ac:dyDescent="0.2">
      <c r="G90" s="118" t="s">
        <v>43</v>
      </c>
      <c r="H90" s="118" t="s">
        <v>198</v>
      </c>
      <c r="I90" s="118" t="s">
        <v>49</v>
      </c>
      <c r="J90" s="118" t="s">
        <v>323</v>
      </c>
      <c r="K90" s="121" t="s">
        <v>27</v>
      </c>
      <c r="L90" s="141"/>
    </row>
    <row r="91" spans="7:12" x14ac:dyDescent="0.2">
      <c r="G91" s="118" t="s">
        <v>43</v>
      </c>
      <c r="H91" s="118" t="s">
        <v>230</v>
      </c>
      <c r="I91" s="118" t="s">
        <v>66</v>
      </c>
      <c r="J91" s="118" t="s">
        <v>324</v>
      </c>
      <c r="K91" s="121" t="s">
        <v>27</v>
      </c>
      <c r="L91" s="141"/>
    </row>
    <row r="92" spans="7:12" x14ac:dyDescent="0.2">
      <c r="G92" s="118" t="s">
        <v>43</v>
      </c>
      <c r="H92" s="118" t="s">
        <v>230</v>
      </c>
      <c r="I92" s="118" t="s">
        <v>49</v>
      </c>
      <c r="J92" s="118" t="s">
        <v>325</v>
      </c>
      <c r="K92" s="121" t="s">
        <v>27</v>
      </c>
      <c r="L92" s="141"/>
    </row>
    <row r="93" spans="7:12" x14ac:dyDescent="0.2">
      <c r="G93" s="118" t="s">
        <v>43</v>
      </c>
      <c r="H93" s="118" t="s">
        <v>205</v>
      </c>
      <c r="I93" s="118" t="s">
        <v>104</v>
      </c>
      <c r="J93" s="118" t="s">
        <v>326</v>
      </c>
      <c r="K93" s="121" t="s">
        <v>27</v>
      </c>
      <c r="L93" s="141"/>
    </row>
    <row r="94" spans="7:12" x14ac:dyDescent="0.2">
      <c r="G94" s="118" t="s">
        <v>43</v>
      </c>
      <c r="H94" s="118" t="s">
        <v>213</v>
      </c>
      <c r="I94" s="118" t="s">
        <v>66</v>
      </c>
      <c r="J94" s="118" t="s">
        <v>327</v>
      </c>
      <c r="K94" s="121" t="s">
        <v>27</v>
      </c>
      <c r="L94" s="141"/>
    </row>
    <row r="95" spans="7:12" x14ac:dyDescent="0.2">
      <c r="G95" s="118" t="s">
        <v>43</v>
      </c>
      <c r="H95" s="118" t="s">
        <v>205</v>
      </c>
      <c r="I95" s="118" t="s">
        <v>66</v>
      </c>
      <c r="J95" s="118" t="s">
        <v>328</v>
      </c>
      <c r="K95" s="121" t="s">
        <v>27</v>
      </c>
      <c r="L95" s="141"/>
    </row>
    <row r="96" spans="7:12" x14ac:dyDescent="0.2">
      <c r="G96" s="118" t="s">
        <v>43</v>
      </c>
      <c r="H96" s="118" t="s">
        <v>230</v>
      </c>
      <c r="I96" s="118" t="s">
        <v>66</v>
      </c>
      <c r="J96" s="118" t="s">
        <v>249</v>
      </c>
      <c r="K96" s="121" t="s">
        <v>27</v>
      </c>
      <c r="L96" s="141"/>
    </row>
    <row r="97" spans="7:12" x14ac:dyDescent="0.2">
      <c r="G97" s="118" t="s">
        <v>43</v>
      </c>
      <c r="H97" s="118" t="s">
        <v>205</v>
      </c>
      <c r="I97" s="118" t="s">
        <v>66</v>
      </c>
      <c r="J97" s="118" t="s">
        <v>329</v>
      </c>
      <c r="K97" s="121" t="s">
        <v>27</v>
      </c>
      <c r="L97" s="141"/>
    </row>
    <row r="98" spans="7:12" x14ac:dyDescent="0.2">
      <c r="G98" s="118" t="s">
        <v>43</v>
      </c>
      <c r="H98" s="118" t="s">
        <v>230</v>
      </c>
      <c r="I98" s="118" t="s">
        <v>66</v>
      </c>
      <c r="J98" s="118" t="s">
        <v>330</v>
      </c>
      <c r="K98" s="121" t="s">
        <v>27</v>
      </c>
      <c r="L98" s="141"/>
    </row>
    <row r="99" spans="7:12" x14ac:dyDescent="0.2">
      <c r="G99" s="118" t="s">
        <v>43</v>
      </c>
      <c r="H99" s="118" t="s">
        <v>317</v>
      </c>
      <c r="I99" s="118" t="s">
        <v>104</v>
      </c>
      <c r="J99" s="118" t="s">
        <v>331</v>
      </c>
      <c r="K99" s="121" t="s">
        <v>27</v>
      </c>
      <c r="L99" s="141"/>
    </row>
    <row r="100" spans="7:12" x14ac:dyDescent="0.2">
      <c r="G100" s="118" t="s">
        <v>43</v>
      </c>
      <c r="H100" s="118" t="s">
        <v>230</v>
      </c>
      <c r="I100" s="118" t="s">
        <v>104</v>
      </c>
      <c r="J100" s="118" t="s">
        <v>226</v>
      </c>
      <c r="K100" s="121" t="s">
        <v>27</v>
      </c>
      <c r="L100" s="141"/>
    </row>
    <row r="101" spans="7:12" x14ac:dyDescent="0.2">
      <c r="G101" s="118" t="s">
        <v>43</v>
      </c>
      <c r="H101" s="118" t="s">
        <v>230</v>
      </c>
      <c r="I101" s="118" t="s">
        <v>332</v>
      </c>
      <c r="J101" s="118" t="s">
        <v>333</v>
      </c>
      <c r="K101" s="121" t="s">
        <v>27</v>
      </c>
      <c r="L101" s="141"/>
    </row>
    <row r="102" spans="7:12" x14ac:dyDescent="0.2">
      <c r="G102" s="118" t="s">
        <v>43</v>
      </c>
      <c r="H102" s="118" t="s">
        <v>250</v>
      </c>
      <c r="I102" s="118" t="s">
        <v>73</v>
      </c>
      <c r="J102" s="118" t="s">
        <v>334</v>
      </c>
      <c r="K102" s="121" t="s">
        <v>27</v>
      </c>
      <c r="L102" s="141"/>
    </row>
    <row r="103" spans="7:12" x14ac:dyDescent="0.2">
      <c r="G103" s="118" t="s">
        <v>43</v>
      </c>
      <c r="H103" s="118" t="s">
        <v>250</v>
      </c>
      <c r="I103" s="118" t="s">
        <v>73</v>
      </c>
      <c r="J103" s="118" t="s">
        <v>335</v>
      </c>
      <c r="K103" s="121" t="s">
        <v>27</v>
      </c>
      <c r="L103" s="141"/>
    </row>
    <row r="104" spans="7:12" x14ac:dyDescent="0.2">
      <c r="G104" s="118" t="s">
        <v>43</v>
      </c>
      <c r="H104" s="118" t="s">
        <v>230</v>
      </c>
      <c r="I104" s="118" t="s">
        <v>104</v>
      </c>
      <c r="J104" s="118" t="s">
        <v>333</v>
      </c>
      <c r="K104" s="121" t="s">
        <v>27</v>
      </c>
      <c r="L104" s="141"/>
    </row>
    <row r="105" spans="7:12" x14ac:dyDescent="0.2">
      <c r="G105" s="118" t="s">
        <v>43</v>
      </c>
      <c r="H105" s="118" t="s">
        <v>230</v>
      </c>
      <c r="I105" s="118" t="s">
        <v>104</v>
      </c>
      <c r="J105" s="118" t="s">
        <v>336</v>
      </c>
      <c r="K105" s="121" t="s">
        <v>27</v>
      </c>
      <c r="L105" s="141"/>
    </row>
    <row r="106" spans="7:12" x14ac:dyDescent="0.2">
      <c r="G106" s="118" t="s">
        <v>43</v>
      </c>
      <c r="H106" s="118" t="s">
        <v>230</v>
      </c>
      <c r="I106" s="118" t="s">
        <v>104</v>
      </c>
      <c r="J106" s="118" t="s">
        <v>337</v>
      </c>
      <c r="K106" s="121" t="s">
        <v>27</v>
      </c>
      <c r="L106" s="141"/>
    </row>
    <row r="107" spans="7:12" x14ac:dyDescent="0.2">
      <c r="G107" s="118" t="s">
        <v>43</v>
      </c>
      <c r="H107" s="118" t="s">
        <v>230</v>
      </c>
      <c r="I107" s="118" t="s">
        <v>104</v>
      </c>
      <c r="J107" s="118" t="s">
        <v>338</v>
      </c>
      <c r="K107" s="121" t="s">
        <v>27</v>
      </c>
      <c r="L107" s="141"/>
    </row>
    <row r="108" spans="7:12" x14ac:dyDescent="0.2">
      <c r="G108" s="118" t="s">
        <v>43</v>
      </c>
      <c r="H108" s="118" t="s">
        <v>230</v>
      </c>
      <c r="I108" s="118" t="s">
        <v>104</v>
      </c>
      <c r="J108" s="118" t="s">
        <v>339</v>
      </c>
      <c r="K108" s="121" t="s">
        <v>27</v>
      </c>
      <c r="L108" s="141"/>
    </row>
    <row r="109" spans="7:12" x14ac:dyDescent="0.2">
      <c r="G109" s="54" t="s">
        <v>340</v>
      </c>
      <c r="H109" s="54" t="s">
        <v>340</v>
      </c>
      <c r="I109" s="54" t="s">
        <v>340</v>
      </c>
      <c r="J109" s="54" t="s">
        <v>340</v>
      </c>
      <c r="K109" s="59" t="s">
        <v>340</v>
      </c>
      <c r="L109" s="143" t="s">
        <v>340</v>
      </c>
    </row>
    <row r="110" spans="7:12" x14ac:dyDescent="0.2">
      <c r="G110" s="55" t="s">
        <v>225</v>
      </c>
      <c r="H110" s="55" t="s">
        <v>341</v>
      </c>
      <c r="I110" s="55" t="s">
        <v>49</v>
      </c>
      <c r="J110" s="55" t="s">
        <v>342</v>
      </c>
      <c r="K110" s="56">
        <v>46340</v>
      </c>
      <c r="L110" s="140"/>
    </row>
    <row r="111" spans="7:12" x14ac:dyDescent="0.2">
      <c r="G111" s="55" t="s">
        <v>225</v>
      </c>
      <c r="H111" s="55" t="s">
        <v>250</v>
      </c>
      <c r="I111" s="55" t="s">
        <v>41</v>
      </c>
      <c r="J111" s="55" t="s">
        <v>343</v>
      </c>
      <c r="K111" s="56">
        <v>46337</v>
      </c>
      <c r="L111" s="140"/>
    </row>
    <row r="112" spans="7:12" x14ac:dyDescent="0.2">
      <c r="G112" s="55" t="s">
        <v>43</v>
      </c>
      <c r="H112" s="55" t="s">
        <v>317</v>
      </c>
      <c r="I112" s="55" t="s">
        <v>277</v>
      </c>
      <c r="J112" s="55" t="s">
        <v>344</v>
      </c>
      <c r="K112" s="56">
        <v>46338</v>
      </c>
      <c r="L112" s="140"/>
    </row>
    <row r="113" spans="7:12" x14ac:dyDescent="0.2">
      <c r="G113" s="55" t="s">
        <v>38</v>
      </c>
      <c r="H113" s="55" t="s">
        <v>213</v>
      </c>
      <c r="I113" s="55" t="s">
        <v>86</v>
      </c>
      <c r="J113" s="55" t="s">
        <v>345</v>
      </c>
      <c r="K113" s="56">
        <v>45637</v>
      </c>
      <c r="L113" s="140">
        <v>4</v>
      </c>
    </row>
    <row r="114" spans="7:12" x14ac:dyDescent="0.2">
      <c r="G114" s="55" t="s">
        <v>38</v>
      </c>
      <c r="H114" s="55" t="s">
        <v>341</v>
      </c>
      <c r="I114" s="55" t="s">
        <v>196</v>
      </c>
      <c r="J114" s="55" t="s">
        <v>346</v>
      </c>
      <c r="K114" s="56" t="s">
        <v>347</v>
      </c>
      <c r="L114" s="140">
        <v>4</v>
      </c>
    </row>
    <row r="115" spans="7:12" x14ac:dyDescent="0.2">
      <c r="G115" s="55" t="s">
        <v>38</v>
      </c>
      <c r="H115" s="55" t="s">
        <v>273</v>
      </c>
      <c r="I115" s="55" t="s">
        <v>196</v>
      </c>
      <c r="J115" s="55" t="s">
        <v>282</v>
      </c>
      <c r="K115" s="56" t="s">
        <v>347</v>
      </c>
      <c r="L115" s="140" t="s">
        <v>27</v>
      </c>
    </row>
    <row r="116" spans="7:12" x14ac:dyDescent="0.2">
      <c r="G116" s="55" t="s">
        <v>225</v>
      </c>
      <c r="H116" s="55" t="s">
        <v>230</v>
      </c>
      <c r="I116" s="55" t="s">
        <v>89</v>
      </c>
      <c r="J116" s="55" t="s">
        <v>348</v>
      </c>
      <c r="K116" s="56">
        <v>46340</v>
      </c>
      <c r="L116" s="140">
        <v>1</v>
      </c>
    </row>
    <row r="117" spans="7:12" x14ac:dyDescent="0.2">
      <c r="G117" s="54" t="s">
        <v>349</v>
      </c>
      <c r="H117" s="54" t="s">
        <v>349</v>
      </c>
      <c r="I117" s="54" t="s">
        <v>349</v>
      </c>
      <c r="J117" s="61" t="s">
        <v>349</v>
      </c>
      <c r="K117" s="59" t="s">
        <v>349</v>
      </c>
      <c r="L117" s="143" t="s">
        <v>349</v>
      </c>
    </row>
    <row r="118" spans="7:12" x14ac:dyDescent="0.2">
      <c r="G118" s="120" t="s">
        <v>43</v>
      </c>
      <c r="H118" s="120" t="s">
        <v>257</v>
      </c>
      <c r="I118" s="194" t="s">
        <v>196</v>
      </c>
      <c r="J118" s="198" t="s">
        <v>350</v>
      </c>
      <c r="K118" s="195" t="s">
        <v>351</v>
      </c>
      <c r="L118" s="145"/>
    </row>
    <row r="119" spans="7:12" x14ac:dyDescent="0.2">
      <c r="G119" s="55" t="s">
        <v>225</v>
      </c>
      <c r="H119" s="55" t="s">
        <v>230</v>
      </c>
      <c r="I119" s="55" t="s">
        <v>56</v>
      </c>
      <c r="J119" s="197" t="s">
        <v>352</v>
      </c>
      <c r="K119" s="56">
        <v>46346</v>
      </c>
      <c r="L119" s="140">
        <v>4</v>
      </c>
    </row>
    <row r="120" spans="7:12" x14ac:dyDescent="0.2">
      <c r="G120" s="119" t="s">
        <v>26</v>
      </c>
      <c r="H120" s="119" t="s">
        <v>353</v>
      </c>
      <c r="I120" s="119" t="s">
        <v>90</v>
      </c>
      <c r="J120" s="119" t="s">
        <v>354</v>
      </c>
      <c r="K120" s="122">
        <v>45615</v>
      </c>
      <c r="L120" s="142">
        <v>3</v>
      </c>
    </row>
    <row r="121" spans="7:12" s="117" customFormat="1" x14ac:dyDescent="0.2">
      <c r="G121" s="55" t="s">
        <v>38</v>
      </c>
      <c r="H121" s="55" t="s">
        <v>288</v>
      </c>
      <c r="I121" s="55" t="s">
        <v>86</v>
      </c>
      <c r="J121" s="55" t="s">
        <v>355</v>
      </c>
      <c r="K121" s="56">
        <v>45616</v>
      </c>
      <c r="L121" s="140">
        <v>4</v>
      </c>
    </row>
    <row r="122" spans="7:12" s="117" customFormat="1" x14ac:dyDescent="0.2">
      <c r="G122" s="55" t="s">
        <v>43</v>
      </c>
      <c r="H122" s="55" t="s">
        <v>230</v>
      </c>
      <c r="I122" s="55" t="s">
        <v>277</v>
      </c>
      <c r="J122" s="55" t="s">
        <v>356</v>
      </c>
      <c r="K122" s="56">
        <v>45617</v>
      </c>
      <c r="L122" s="140" t="s">
        <v>27</v>
      </c>
    </row>
    <row r="123" spans="7:12" s="117" customFormat="1" x14ac:dyDescent="0.2">
      <c r="G123" s="55" t="s">
        <v>38</v>
      </c>
      <c r="H123" s="55" t="s">
        <v>205</v>
      </c>
      <c r="I123" s="55" t="s">
        <v>36</v>
      </c>
      <c r="J123" s="55" t="s">
        <v>357</v>
      </c>
      <c r="K123" s="56">
        <v>45618</v>
      </c>
      <c r="L123" s="140">
        <v>4</v>
      </c>
    </row>
    <row r="124" spans="7:12" s="117" customFormat="1" x14ac:dyDescent="0.2">
      <c r="G124" s="55" t="s">
        <v>175</v>
      </c>
      <c r="H124" s="55" t="s">
        <v>358</v>
      </c>
      <c r="I124" s="55" t="s">
        <v>56</v>
      </c>
      <c r="J124" s="55" t="s">
        <v>359</v>
      </c>
      <c r="K124" s="56">
        <v>45618</v>
      </c>
      <c r="L124" s="55" t="s">
        <v>360</v>
      </c>
    </row>
    <row r="125" spans="7:12" x14ac:dyDescent="0.2">
      <c r="G125" s="54" t="s">
        <v>361</v>
      </c>
      <c r="H125" s="54" t="s">
        <v>361</v>
      </c>
      <c r="I125" s="54" t="s">
        <v>361</v>
      </c>
      <c r="J125" s="54" t="s">
        <v>361</v>
      </c>
      <c r="K125" s="59" t="s">
        <v>361</v>
      </c>
      <c r="L125" s="143" t="s">
        <v>361</v>
      </c>
    </row>
    <row r="126" spans="7:12" x14ac:dyDescent="0.2">
      <c r="G126" s="55" t="s">
        <v>38</v>
      </c>
      <c r="H126" s="55" t="s">
        <v>230</v>
      </c>
      <c r="I126" s="55" t="s">
        <v>36</v>
      </c>
      <c r="J126" s="120" t="s">
        <v>362</v>
      </c>
      <c r="K126" s="56">
        <v>45622</v>
      </c>
      <c r="L126" s="140">
        <v>2</v>
      </c>
    </row>
    <row r="127" spans="7:12" x14ac:dyDescent="0.2">
      <c r="G127" s="55" t="s">
        <v>31</v>
      </c>
      <c r="H127" s="55" t="s">
        <v>273</v>
      </c>
      <c r="I127" s="170" t="s">
        <v>196</v>
      </c>
      <c r="J127" s="198" t="s">
        <v>363</v>
      </c>
      <c r="K127" s="196">
        <v>45622</v>
      </c>
      <c r="L127" s="140" t="s">
        <v>364</v>
      </c>
    </row>
    <row r="128" spans="7:12" x14ac:dyDescent="0.2">
      <c r="G128" s="55" t="s">
        <v>38</v>
      </c>
      <c r="H128" s="55" t="s">
        <v>192</v>
      </c>
      <c r="I128" s="55" t="s">
        <v>39</v>
      </c>
      <c r="J128" s="197" t="s">
        <v>365</v>
      </c>
      <c r="K128" s="56">
        <v>45623</v>
      </c>
      <c r="L128" s="140">
        <v>4</v>
      </c>
    </row>
    <row r="129" spans="7:12" x14ac:dyDescent="0.2">
      <c r="G129" s="55" t="s">
        <v>31</v>
      </c>
      <c r="H129" s="55" t="s">
        <v>205</v>
      </c>
      <c r="I129" s="55" t="s">
        <v>92</v>
      </c>
      <c r="J129" s="55" t="s">
        <v>366</v>
      </c>
      <c r="K129" s="56">
        <v>45623</v>
      </c>
      <c r="L129" s="140">
        <v>3</v>
      </c>
    </row>
    <row r="130" spans="7:12" x14ac:dyDescent="0.2">
      <c r="G130" s="55" t="s">
        <v>31</v>
      </c>
      <c r="H130" s="55" t="s">
        <v>341</v>
      </c>
      <c r="I130" s="55" t="s">
        <v>196</v>
      </c>
      <c r="J130" s="55" t="s">
        <v>367</v>
      </c>
      <c r="K130" s="56">
        <v>45623</v>
      </c>
      <c r="L130" s="140">
        <v>3</v>
      </c>
    </row>
    <row r="131" spans="7:12" x14ac:dyDescent="0.2">
      <c r="G131" s="120" t="s">
        <v>225</v>
      </c>
      <c r="H131" s="120" t="s">
        <v>257</v>
      </c>
      <c r="I131" s="120" t="s">
        <v>49</v>
      </c>
      <c r="J131" s="120" t="s">
        <v>368</v>
      </c>
      <c r="K131" s="123">
        <v>45624</v>
      </c>
      <c r="L131" s="145" t="s">
        <v>27</v>
      </c>
    </row>
    <row r="132" spans="7:12" x14ac:dyDescent="0.2">
      <c r="G132" s="152" t="s">
        <v>369</v>
      </c>
      <c r="H132" s="152" t="s">
        <v>370</v>
      </c>
      <c r="I132" s="152" t="s">
        <v>86</v>
      </c>
      <c r="J132" s="152" t="s">
        <v>371</v>
      </c>
      <c r="K132" s="173">
        <v>45621</v>
      </c>
      <c r="L132" s="153"/>
    </row>
    <row r="133" spans="7:12" x14ac:dyDescent="0.2">
      <c r="G133" s="152" t="s">
        <v>369</v>
      </c>
      <c r="H133" s="152" t="s">
        <v>372</v>
      </c>
      <c r="I133" s="152" t="s">
        <v>87</v>
      </c>
      <c r="J133" s="152" t="s">
        <v>371</v>
      </c>
      <c r="K133" s="173">
        <v>45623</v>
      </c>
      <c r="L133" s="153"/>
    </row>
    <row r="134" spans="7:12" x14ac:dyDescent="0.2">
      <c r="G134" s="152" t="s">
        <v>369</v>
      </c>
      <c r="H134" s="152" t="s">
        <v>372</v>
      </c>
      <c r="I134" s="152" t="s">
        <v>373</v>
      </c>
      <c r="J134" s="152" t="s">
        <v>371</v>
      </c>
      <c r="K134" s="173">
        <v>45625</v>
      </c>
      <c r="L134" s="153"/>
    </row>
    <row r="135" spans="7:12" x14ac:dyDescent="0.2">
      <c r="G135" s="154" t="s">
        <v>374</v>
      </c>
      <c r="H135" s="154" t="s">
        <v>374</v>
      </c>
      <c r="I135" s="154" t="s">
        <v>374</v>
      </c>
      <c r="J135" s="154" t="s">
        <v>374</v>
      </c>
      <c r="K135" s="155" t="s">
        <v>374</v>
      </c>
      <c r="L135" s="156" t="s">
        <v>374</v>
      </c>
    </row>
    <row r="136" spans="7:12" x14ac:dyDescent="0.2">
      <c r="G136" s="55" t="s">
        <v>38</v>
      </c>
      <c r="H136" s="55" t="s">
        <v>250</v>
      </c>
      <c r="I136" s="55" t="s">
        <v>86</v>
      </c>
      <c r="J136" s="55" t="s">
        <v>375</v>
      </c>
      <c r="K136" s="56">
        <v>45629</v>
      </c>
      <c r="L136" s="140">
        <v>4</v>
      </c>
    </row>
    <row r="137" spans="7:12" x14ac:dyDescent="0.2">
      <c r="G137" s="55" t="s">
        <v>38</v>
      </c>
      <c r="H137" s="55" t="s">
        <v>192</v>
      </c>
      <c r="I137" s="55" t="s">
        <v>86</v>
      </c>
      <c r="J137" s="55" t="s">
        <v>376</v>
      </c>
      <c r="K137" s="56">
        <v>45629</v>
      </c>
      <c r="L137" s="140">
        <v>3</v>
      </c>
    </row>
    <row r="138" spans="7:12" x14ac:dyDescent="0.2">
      <c r="G138" s="152" t="s">
        <v>369</v>
      </c>
      <c r="H138" s="152" t="s">
        <v>370</v>
      </c>
      <c r="I138" s="152" t="s">
        <v>87</v>
      </c>
      <c r="J138" s="152" t="s">
        <v>371</v>
      </c>
      <c r="K138" s="173">
        <v>45630</v>
      </c>
      <c r="L138" s="153"/>
    </row>
    <row r="139" spans="7:12" x14ac:dyDescent="0.2">
      <c r="G139" s="152" t="s">
        <v>369</v>
      </c>
      <c r="H139" s="152" t="s">
        <v>370</v>
      </c>
      <c r="I139" s="152" t="s">
        <v>377</v>
      </c>
      <c r="J139" s="152" t="s">
        <v>371</v>
      </c>
      <c r="K139" s="173">
        <v>45631</v>
      </c>
      <c r="L139" s="153"/>
    </row>
    <row r="140" spans="7:12" x14ac:dyDescent="0.2">
      <c r="G140" s="62" t="s">
        <v>378</v>
      </c>
      <c r="H140" s="62" t="s">
        <v>378</v>
      </c>
      <c r="I140" s="62" t="s">
        <v>378</v>
      </c>
      <c r="J140" s="62" t="s">
        <v>378</v>
      </c>
      <c r="K140" s="70" t="s">
        <v>378</v>
      </c>
      <c r="L140" s="144" t="s">
        <v>378</v>
      </c>
    </row>
    <row r="141" spans="7:12" x14ac:dyDescent="0.2">
      <c r="G141" s="55" t="s">
        <v>38</v>
      </c>
      <c r="H141" s="55" t="s">
        <v>250</v>
      </c>
      <c r="I141" s="55" t="s">
        <v>115</v>
      </c>
      <c r="J141" s="55" t="s">
        <v>296</v>
      </c>
      <c r="K141" s="56">
        <v>45635</v>
      </c>
      <c r="L141" s="140" t="s">
        <v>27</v>
      </c>
    </row>
    <row r="142" spans="7:12" x14ac:dyDescent="0.2">
      <c r="G142" s="55" t="s">
        <v>43</v>
      </c>
      <c r="H142" s="55" t="s">
        <v>293</v>
      </c>
      <c r="I142" s="55" t="s">
        <v>277</v>
      </c>
      <c r="J142" s="55" t="s">
        <v>379</v>
      </c>
      <c r="K142" s="56">
        <v>45635</v>
      </c>
      <c r="L142" s="140" t="s">
        <v>380</v>
      </c>
    </row>
    <row r="143" spans="7:12" x14ac:dyDescent="0.2">
      <c r="G143" s="55" t="s">
        <v>31</v>
      </c>
      <c r="H143" s="55" t="s">
        <v>288</v>
      </c>
      <c r="I143" s="55" t="s">
        <v>87</v>
      </c>
      <c r="J143" s="55" t="s">
        <v>381</v>
      </c>
      <c r="K143" s="56">
        <v>45635</v>
      </c>
      <c r="L143" s="140">
        <v>3</v>
      </c>
    </row>
    <row r="144" spans="7:12" x14ac:dyDescent="0.2">
      <c r="G144" s="55" t="s">
        <v>31</v>
      </c>
      <c r="H144" s="55" t="s">
        <v>205</v>
      </c>
      <c r="I144" s="55" t="s">
        <v>87</v>
      </c>
      <c r="J144" s="55" t="s">
        <v>382</v>
      </c>
      <c r="K144" s="56">
        <v>45635</v>
      </c>
      <c r="L144" s="140">
        <v>3</v>
      </c>
    </row>
    <row r="145" spans="7:12" x14ac:dyDescent="0.2">
      <c r="G145" s="55" t="s">
        <v>38</v>
      </c>
      <c r="H145" s="55" t="s">
        <v>383</v>
      </c>
      <c r="I145" s="55" t="s">
        <v>384</v>
      </c>
      <c r="J145" s="55" t="s">
        <v>385</v>
      </c>
      <c r="K145" s="56">
        <v>45636</v>
      </c>
      <c r="L145" s="140">
        <v>3</v>
      </c>
    </row>
    <row r="146" spans="7:12" x14ac:dyDescent="0.2">
      <c r="G146" s="55" t="s">
        <v>38</v>
      </c>
      <c r="H146" s="55" t="s">
        <v>383</v>
      </c>
      <c r="I146" s="55" t="s">
        <v>384</v>
      </c>
      <c r="J146" s="55" t="s">
        <v>386</v>
      </c>
      <c r="K146" s="56">
        <v>45636</v>
      </c>
      <c r="L146" s="140">
        <v>4</v>
      </c>
    </row>
    <row r="147" spans="7:12" x14ac:dyDescent="0.2">
      <c r="G147" s="55" t="s">
        <v>38</v>
      </c>
      <c r="H147" s="55" t="s">
        <v>288</v>
      </c>
      <c r="I147" s="55" t="s">
        <v>39</v>
      </c>
      <c r="J147" s="55" t="s">
        <v>387</v>
      </c>
      <c r="K147" s="56">
        <v>45637</v>
      </c>
      <c r="L147" s="140" t="s">
        <v>27</v>
      </c>
    </row>
    <row r="148" spans="7:12" x14ac:dyDescent="0.2">
      <c r="G148" s="55" t="s">
        <v>175</v>
      </c>
      <c r="H148" s="55" t="s">
        <v>230</v>
      </c>
      <c r="I148" s="55" t="s">
        <v>24</v>
      </c>
      <c r="J148" s="55" t="s">
        <v>388</v>
      </c>
      <c r="K148" s="56">
        <v>45637</v>
      </c>
      <c r="L148" s="140">
        <v>4</v>
      </c>
    </row>
    <row r="149" spans="7:12" x14ac:dyDescent="0.2">
      <c r="G149" s="55" t="s">
        <v>31</v>
      </c>
      <c r="H149" s="55" t="s">
        <v>341</v>
      </c>
      <c r="I149" s="55" t="s">
        <v>196</v>
      </c>
      <c r="J149" s="55" t="s">
        <v>389</v>
      </c>
      <c r="K149" s="56">
        <v>45637</v>
      </c>
      <c r="L149" s="140">
        <v>3</v>
      </c>
    </row>
    <row r="150" spans="7:12" x14ac:dyDescent="0.2">
      <c r="G150" s="120" t="s">
        <v>31</v>
      </c>
      <c r="H150" s="120" t="s">
        <v>390</v>
      </c>
      <c r="I150" s="120" t="s">
        <v>87</v>
      </c>
      <c r="J150" s="120" t="s">
        <v>391</v>
      </c>
      <c r="K150" s="123">
        <v>45639</v>
      </c>
      <c r="L150" s="145">
        <v>4</v>
      </c>
    </row>
    <row r="151" spans="7:12" x14ac:dyDescent="0.2">
      <c r="G151" s="152" t="s">
        <v>369</v>
      </c>
      <c r="H151" s="152" t="s">
        <v>370</v>
      </c>
      <c r="I151" s="152" t="s">
        <v>87</v>
      </c>
      <c r="J151" s="152" t="s">
        <v>371</v>
      </c>
      <c r="K151" s="173">
        <v>45635</v>
      </c>
      <c r="L151" s="153"/>
    </row>
    <row r="152" spans="7:12" x14ac:dyDescent="0.2">
      <c r="G152" s="152" t="s">
        <v>369</v>
      </c>
      <c r="H152" s="152" t="s">
        <v>370</v>
      </c>
      <c r="I152" s="152" t="s">
        <v>44</v>
      </c>
      <c r="J152" s="152" t="s">
        <v>371</v>
      </c>
      <c r="K152" s="173">
        <v>45636</v>
      </c>
      <c r="L152" s="153"/>
    </row>
    <row r="153" spans="7:12" x14ac:dyDescent="0.2">
      <c r="G153" s="152" t="s">
        <v>369</v>
      </c>
      <c r="H153" s="152" t="s">
        <v>370</v>
      </c>
      <c r="I153" s="152" t="s">
        <v>24</v>
      </c>
      <c r="J153" s="152" t="s">
        <v>371</v>
      </c>
      <c r="K153" s="173">
        <v>45637</v>
      </c>
      <c r="L153" s="153"/>
    </row>
    <row r="154" spans="7:12" x14ac:dyDescent="0.2">
      <c r="G154" s="152" t="s">
        <v>369</v>
      </c>
      <c r="H154" s="152" t="s">
        <v>370</v>
      </c>
      <c r="I154" s="152" t="s">
        <v>89</v>
      </c>
      <c r="J154" s="152" t="s">
        <v>371</v>
      </c>
      <c r="K154" s="173">
        <v>45637</v>
      </c>
      <c r="L154" s="153"/>
    </row>
    <row r="155" spans="7:12" x14ac:dyDescent="0.2">
      <c r="G155" s="62" t="s">
        <v>392</v>
      </c>
      <c r="H155" s="62" t="s">
        <v>392</v>
      </c>
      <c r="I155" s="62" t="s">
        <v>392</v>
      </c>
      <c r="J155" s="62" t="s">
        <v>392</v>
      </c>
      <c r="K155" s="70" t="s">
        <v>392</v>
      </c>
      <c r="L155" s="144" t="s">
        <v>392</v>
      </c>
    </row>
    <row r="156" spans="7:12" x14ac:dyDescent="0.2">
      <c r="G156" s="55" t="s">
        <v>31</v>
      </c>
      <c r="H156" s="55" t="s">
        <v>205</v>
      </c>
      <c r="I156" s="55" t="s">
        <v>92</v>
      </c>
      <c r="J156" s="55" t="s">
        <v>393</v>
      </c>
      <c r="K156" s="56">
        <v>45642</v>
      </c>
      <c r="L156" s="140">
        <v>4</v>
      </c>
    </row>
    <row r="157" spans="7:12" x14ac:dyDescent="0.2">
      <c r="G157" s="55" t="s">
        <v>31</v>
      </c>
      <c r="H157" s="55" t="s">
        <v>257</v>
      </c>
      <c r="I157" s="55" t="s">
        <v>196</v>
      </c>
      <c r="J157" s="55" t="s">
        <v>394</v>
      </c>
      <c r="K157" s="56">
        <v>45642</v>
      </c>
      <c r="L157" s="140" t="s">
        <v>395</v>
      </c>
    </row>
    <row r="158" spans="7:12" x14ac:dyDescent="0.2">
      <c r="G158" s="55" t="s">
        <v>175</v>
      </c>
      <c r="H158" s="55" t="s">
        <v>250</v>
      </c>
      <c r="I158" s="55" t="s">
        <v>56</v>
      </c>
      <c r="J158" s="55" t="s">
        <v>396</v>
      </c>
      <c r="K158" s="56">
        <v>45643</v>
      </c>
      <c r="L158" s="140" t="s">
        <v>380</v>
      </c>
    </row>
    <row r="159" spans="7:12" x14ac:dyDescent="0.2">
      <c r="G159" s="55" t="s">
        <v>38</v>
      </c>
      <c r="H159" s="55" t="s">
        <v>288</v>
      </c>
      <c r="I159" s="55" t="s">
        <v>86</v>
      </c>
      <c r="J159" s="55" t="s">
        <v>397</v>
      </c>
      <c r="K159" s="56">
        <v>45643</v>
      </c>
      <c r="L159" s="140" t="s">
        <v>398</v>
      </c>
    </row>
    <row r="160" spans="7:12" x14ac:dyDescent="0.2">
      <c r="G160" s="55" t="s">
        <v>38</v>
      </c>
      <c r="H160" s="55" t="s">
        <v>293</v>
      </c>
      <c r="I160" s="55" t="s">
        <v>86</v>
      </c>
      <c r="J160" s="55" t="s">
        <v>399</v>
      </c>
      <c r="K160" s="56">
        <v>45643</v>
      </c>
      <c r="L160" s="140" t="s">
        <v>400</v>
      </c>
    </row>
    <row r="161" spans="7:12" x14ac:dyDescent="0.2">
      <c r="G161" s="55" t="s">
        <v>31</v>
      </c>
      <c r="H161" s="55" t="s">
        <v>341</v>
      </c>
      <c r="I161" s="55" t="s">
        <v>196</v>
      </c>
      <c r="J161" s="55" t="s">
        <v>401</v>
      </c>
      <c r="K161" s="56">
        <v>45643</v>
      </c>
      <c r="L161" s="140" t="s">
        <v>398</v>
      </c>
    </row>
    <row r="162" spans="7:12" x14ac:dyDescent="0.2">
      <c r="G162" s="55" t="s">
        <v>31</v>
      </c>
      <c r="H162" s="55" t="s">
        <v>202</v>
      </c>
      <c r="I162" s="55" t="s">
        <v>373</v>
      </c>
      <c r="J162" s="55" t="s">
        <v>402</v>
      </c>
      <c r="K162" s="56">
        <v>45644</v>
      </c>
      <c r="L162" s="140" t="s">
        <v>380</v>
      </c>
    </row>
    <row r="163" spans="7:12" x14ac:dyDescent="0.2">
      <c r="G163" s="55" t="s">
        <v>38</v>
      </c>
      <c r="H163" s="55" t="s">
        <v>288</v>
      </c>
      <c r="I163" s="55" t="s">
        <v>384</v>
      </c>
      <c r="J163" s="55" t="s">
        <v>403</v>
      </c>
      <c r="K163" s="56">
        <v>45644</v>
      </c>
      <c r="L163" s="140" t="s">
        <v>398</v>
      </c>
    </row>
    <row r="164" spans="7:12" x14ac:dyDescent="0.2">
      <c r="G164" s="55" t="s">
        <v>404</v>
      </c>
      <c r="H164" s="55" t="s">
        <v>288</v>
      </c>
      <c r="I164" s="55" t="s">
        <v>384</v>
      </c>
      <c r="J164" s="55" t="s">
        <v>405</v>
      </c>
      <c r="K164" s="56">
        <v>45644</v>
      </c>
      <c r="L164" s="140" t="s">
        <v>400</v>
      </c>
    </row>
    <row r="165" spans="7:12" x14ac:dyDescent="0.2">
      <c r="G165" s="55" t="s">
        <v>175</v>
      </c>
      <c r="H165" s="55" t="s">
        <v>205</v>
      </c>
      <c r="I165" s="55" t="s">
        <v>47</v>
      </c>
      <c r="J165" s="55" t="s">
        <v>406</v>
      </c>
      <c r="K165" s="56">
        <v>45644</v>
      </c>
      <c r="L165" s="140" t="s">
        <v>380</v>
      </c>
    </row>
    <row r="166" spans="7:12" x14ac:dyDescent="0.2">
      <c r="G166" s="55" t="s">
        <v>225</v>
      </c>
      <c r="H166" s="55" t="s">
        <v>250</v>
      </c>
      <c r="I166" s="55" t="s">
        <v>44</v>
      </c>
      <c r="J166" s="55" t="s">
        <v>407</v>
      </c>
      <c r="K166" s="56">
        <v>45645</v>
      </c>
      <c r="L166" s="140" t="s">
        <v>398</v>
      </c>
    </row>
    <row r="167" spans="7:12" x14ac:dyDescent="0.2">
      <c r="G167" s="55" t="s">
        <v>31</v>
      </c>
      <c r="H167" s="55" t="s">
        <v>257</v>
      </c>
      <c r="I167" s="55" t="s">
        <v>196</v>
      </c>
      <c r="J167" s="157" t="s">
        <v>408</v>
      </c>
      <c r="K167" s="56">
        <v>45645</v>
      </c>
      <c r="L167" s="140" t="s">
        <v>398</v>
      </c>
    </row>
    <row r="168" spans="7:12" x14ac:dyDescent="0.2">
      <c r="G168" s="55" t="s">
        <v>38</v>
      </c>
      <c r="H168" s="55" t="s">
        <v>288</v>
      </c>
      <c r="I168" s="55" t="s">
        <v>384</v>
      </c>
      <c r="J168" s="55" t="s">
        <v>409</v>
      </c>
      <c r="K168" s="56">
        <v>45646</v>
      </c>
      <c r="L168" s="140" t="s">
        <v>380</v>
      </c>
    </row>
    <row r="169" spans="7:12" x14ac:dyDescent="0.2">
      <c r="G169" s="55" t="s">
        <v>225</v>
      </c>
      <c r="H169" s="55" t="s">
        <v>230</v>
      </c>
      <c r="I169" s="55" t="s">
        <v>410</v>
      </c>
      <c r="J169" s="55" t="s">
        <v>411</v>
      </c>
      <c r="K169" s="56">
        <v>45650</v>
      </c>
      <c r="L169" s="140" t="s">
        <v>380</v>
      </c>
    </row>
    <row r="170" spans="7:12" x14ac:dyDescent="0.2">
      <c r="G170" s="55" t="s">
        <v>31</v>
      </c>
      <c r="H170" s="55" t="s">
        <v>205</v>
      </c>
      <c r="I170" s="55" t="s">
        <v>412</v>
      </c>
      <c r="J170" s="55" t="s">
        <v>413</v>
      </c>
      <c r="K170" s="56">
        <v>45650</v>
      </c>
      <c r="L170" s="140" t="s">
        <v>398</v>
      </c>
    </row>
    <row r="171" spans="7:12" x14ac:dyDescent="0.2">
      <c r="G171" s="55" t="s">
        <v>38</v>
      </c>
      <c r="H171" s="55" t="s">
        <v>383</v>
      </c>
      <c r="I171" s="55" t="s">
        <v>384</v>
      </c>
      <c r="J171" s="55" t="s">
        <v>414</v>
      </c>
      <c r="K171" s="56">
        <v>45652</v>
      </c>
      <c r="L171" s="140" t="s">
        <v>380</v>
      </c>
    </row>
    <row r="172" spans="7:12" x14ac:dyDescent="0.2">
      <c r="G172" s="55" t="s">
        <v>38</v>
      </c>
      <c r="H172" s="55" t="s">
        <v>250</v>
      </c>
      <c r="I172" s="55" t="s">
        <v>39</v>
      </c>
      <c r="J172" s="55" t="s">
        <v>415</v>
      </c>
      <c r="K172" s="56">
        <v>45652</v>
      </c>
      <c r="L172" s="140" t="s">
        <v>27</v>
      </c>
    </row>
    <row r="173" spans="7:12" x14ac:dyDescent="0.2">
      <c r="G173" s="149" t="s">
        <v>369</v>
      </c>
      <c r="H173" s="149" t="s">
        <v>372</v>
      </c>
      <c r="I173" s="149" t="s">
        <v>416</v>
      </c>
      <c r="J173" s="150" t="s">
        <v>371</v>
      </c>
      <c r="K173" s="173">
        <v>45642</v>
      </c>
      <c r="L173" s="151"/>
    </row>
    <row r="174" spans="7:12" x14ac:dyDescent="0.2">
      <c r="G174" s="149" t="s">
        <v>369</v>
      </c>
      <c r="H174" s="149" t="s">
        <v>372</v>
      </c>
      <c r="I174" s="149" t="s">
        <v>60</v>
      </c>
      <c r="J174" s="150" t="s">
        <v>371</v>
      </c>
      <c r="K174" s="173">
        <v>45642</v>
      </c>
      <c r="L174" s="151"/>
    </row>
    <row r="175" spans="7:12" ht="16.25" customHeight="1" x14ac:dyDescent="0.2">
      <c r="G175" s="149" t="s">
        <v>369</v>
      </c>
      <c r="H175" s="149" t="s">
        <v>370</v>
      </c>
      <c r="I175" s="149" t="s">
        <v>92</v>
      </c>
      <c r="J175" s="150" t="s">
        <v>371</v>
      </c>
      <c r="K175" s="173">
        <v>45642</v>
      </c>
      <c r="L175" s="151"/>
    </row>
    <row r="176" spans="7:12" x14ac:dyDescent="0.2">
      <c r="G176" s="149" t="s">
        <v>369</v>
      </c>
      <c r="H176" s="149" t="s">
        <v>370</v>
      </c>
      <c r="I176" s="149" t="s">
        <v>384</v>
      </c>
      <c r="J176" s="150" t="s">
        <v>371</v>
      </c>
      <c r="K176" s="173">
        <v>45644</v>
      </c>
      <c r="L176" s="151"/>
    </row>
    <row r="177" spans="7:12" x14ac:dyDescent="0.2">
      <c r="G177" s="149" t="s">
        <v>369</v>
      </c>
      <c r="H177" s="149" t="s">
        <v>370</v>
      </c>
      <c r="I177" s="149" t="s">
        <v>87</v>
      </c>
      <c r="J177" s="150" t="s">
        <v>371</v>
      </c>
      <c r="K177" s="173">
        <v>45645</v>
      </c>
      <c r="L177" s="151"/>
    </row>
    <row r="178" spans="7:12" x14ac:dyDescent="0.2">
      <c r="G178" s="149" t="s">
        <v>369</v>
      </c>
      <c r="H178" s="149" t="s">
        <v>370</v>
      </c>
      <c r="I178" s="149" t="s">
        <v>44</v>
      </c>
      <c r="J178" s="150" t="s">
        <v>371</v>
      </c>
      <c r="K178" s="173">
        <v>45645</v>
      </c>
      <c r="L178" s="151"/>
    </row>
    <row r="179" spans="7:12" x14ac:dyDescent="0.2">
      <c r="G179" s="149" t="s">
        <v>369</v>
      </c>
      <c r="H179" s="149" t="s">
        <v>370</v>
      </c>
      <c r="I179" s="149" t="s">
        <v>377</v>
      </c>
      <c r="J179" s="150" t="s">
        <v>371</v>
      </c>
      <c r="K179" s="173">
        <v>45645</v>
      </c>
      <c r="L179" s="151"/>
    </row>
    <row r="180" spans="7:12" ht="21" x14ac:dyDescent="0.25">
      <c r="G180" s="169">
        <v>2025</v>
      </c>
      <c r="H180" s="169">
        <v>2025</v>
      </c>
      <c r="I180" s="169">
        <v>2025</v>
      </c>
      <c r="J180" s="169">
        <v>2025</v>
      </c>
      <c r="K180" s="331">
        <v>2025</v>
      </c>
      <c r="L180" s="169">
        <v>2025</v>
      </c>
    </row>
    <row r="181" spans="7:12" x14ac:dyDescent="0.2">
      <c r="G181" s="55" t="s">
        <v>38</v>
      </c>
      <c r="H181" s="55" t="s">
        <v>192</v>
      </c>
      <c r="I181" s="55" t="s">
        <v>417</v>
      </c>
      <c r="J181" s="55" t="s">
        <v>418</v>
      </c>
      <c r="K181" s="56">
        <v>45656</v>
      </c>
      <c r="L181" s="140" t="s">
        <v>398</v>
      </c>
    </row>
    <row r="182" spans="7:12" x14ac:dyDescent="0.2">
      <c r="G182" s="55" t="s">
        <v>38</v>
      </c>
      <c r="H182" s="55" t="s">
        <v>230</v>
      </c>
      <c r="I182" s="55" t="s">
        <v>36</v>
      </c>
      <c r="J182" s="55" t="s">
        <v>419</v>
      </c>
      <c r="K182" s="56">
        <v>45656</v>
      </c>
      <c r="L182" s="140" t="s">
        <v>380</v>
      </c>
    </row>
    <row r="183" spans="7:12" x14ac:dyDescent="0.2">
      <c r="G183" s="55" t="s">
        <v>175</v>
      </c>
      <c r="H183" s="55" t="s">
        <v>213</v>
      </c>
      <c r="I183" s="55" t="s">
        <v>56</v>
      </c>
      <c r="J183" s="55" t="s">
        <v>420</v>
      </c>
      <c r="K183" s="56">
        <v>45656</v>
      </c>
      <c r="L183" s="140" t="s">
        <v>380</v>
      </c>
    </row>
    <row r="184" spans="7:12" x14ac:dyDescent="0.2">
      <c r="G184" s="55" t="s">
        <v>175</v>
      </c>
      <c r="H184" s="55" t="s">
        <v>205</v>
      </c>
      <c r="I184" s="55" t="s">
        <v>85</v>
      </c>
      <c r="J184" s="55" t="s">
        <v>305</v>
      </c>
      <c r="K184" s="56">
        <v>45659</v>
      </c>
      <c r="L184" s="140" t="s">
        <v>398</v>
      </c>
    </row>
    <row r="185" spans="7:12" x14ac:dyDescent="0.2">
      <c r="G185" s="55" t="s">
        <v>38</v>
      </c>
      <c r="H185" s="55" t="s">
        <v>230</v>
      </c>
      <c r="I185" s="55" t="s">
        <v>36</v>
      </c>
      <c r="J185" s="55" t="s">
        <v>421</v>
      </c>
      <c r="K185" s="56">
        <v>45660</v>
      </c>
      <c r="L185" s="140" t="s">
        <v>398</v>
      </c>
    </row>
    <row r="186" spans="7:12" x14ac:dyDescent="0.2">
      <c r="G186" s="55" t="s">
        <v>404</v>
      </c>
      <c r="H186" s="55" t="s">
        <v>288</v>
      </c>
      <c r="I186" s="55" t="s">
        <v>384</v>
      </c>
      <c r="J186" s="55" t="s">
        <v>422</v>
      </c>
      <c r="K186" s="56">
        <v>45660</v>
      </c>
      <c r="L186" s="140" t="s">
        <v>380</v>
      </c>
    </row>
    <row r="187" spans="7:12" x14ac:dyDescent="0.2">
      <c r="G187" s="61" t="s">
        <v>423</v>
      </c>
      <c r="H187" s="61" t="s">
        <v>423</v>
      </c>
      <c r="I187" s="61" t="s">
        <v>423</v>
      </c>
      <c r="J187" s="61" t="s">
        <v>423</v>
      </c>
      <c r="K187" s="216" t="s">
        <v>423</v>
      </c>
      <c r="L187" s="61" t="s">
        <v>423</v>
      </c>
    </row>
    <row r="188" spans="7:12" x14ac:dyDescent="0.2">
      <c r="G188" s="120" t="s">
        <v>175</v>
      </c>
      <c r="H188" s="120" t="s">
        <v>205</v>
      </c>
      <c r="I188" s="120" t="s">
        <v>24</v>
      </c>
      <c r="J188" s="120" t="s">
        <v>424</v>
      </c>
      <c r="K188" s="123">
        <v>45809</v>
      </c>
      <c r="L188" s="145" t="s">
        <v>380</v>
      </c>
    </row>
    <row r="189" spans="7:12" x14ac:dyDescent="0.2">
      <c r="G189" s="120" t="s">
        <v>31</v>
      </c>
      <c r="H189" s="120" t="s">
        <v>273</v>
      </c>
      <c r="I189" s="120" t="s">
        <v>196</v>
      </c>
      <c r="J189" s="120" t="s">
        <v>425</v>
      </c>
      <c r="K189" s="123">
        <v>45809</v>
      </c>
      <c r="L189" s="145" t="s">
        <v>426</v>
      </c>
    </row>
    <row r="190" spans="7:12" x14ac:dyDescent="0.2">
      <c r="G190" s="120" t="s">
        <v>31</v>
      </c>
      <c r="H190" s="120" t="s">
        <v>273</v>
      </c>
      <c r="I190" s="120" t="s">
        <v>196</v>
      </c>
      <c r="J190" s="120" t="s">
        <v>427</v>
      </c>
      <c r="K190" s="123">
        <v>45809</v>
      </c>
      <c r="L190" s="145" t="s">
        <v>426</v>
      </c>
    </row>
    <row r="191" spans="7:12" x14ac:dyDescent="0.2">
      <c r="G191" s="120" t="s">
        <v>369</v>
      </c>
      <c r="H191" s="120" t="s">
        <v>250</v>
      </c>
      <c r="I191" s="120" t="s">
        <v>377</v>
      </c>
      <c r="J191" s="120" t="s">
        <v>428</v>
      </c>
      <c r="K191" s="123">
        <v>45809</v>
      </c>
      <c r="L191" s="145" t="s">
        <v>380</v>
      </c>
    </row>
    <row r="192" spans="7:12" x14ac:dyDescent="0.2">
      <c r="G192" s="55" t="s">
        <v>225</v>
      </c>
      <c r="H192" s="55" t="s">
        <v>429</v>
      </c>
      <c r="I192" s="55" t="s">
        <v>44</v>
      </c>
      <c r="J192" s="170" t="s">
        <v>430</v>
      </c>
      <c r="K192" s="123">
        <v>45809</v>
      </c>
      <c r="L192" s="172" t="s">
        <v>398</v>
      </c>
    </row>
    <row r="193" spans="7:12" x14ac:dyDescent="0.2">
      <c r="G193" s="55" t="s">
        <v>43</v>
      </c>
      <c r="H193" s="55" t="s">
        <v>286</v>
      </c>
      <c r="I193" s="55" t="s">
        <v>277</v>
      </c>
      <c r="J193" s="170" t="s">
        <v>431</v>
      </c>
      <c r="K193" s="123">
        <v>45809</v>
      </c>
      <c r="L193" s="172" t="s">
        <v>27</v>
      </c>
    </row>
    <row r="194" spans="7:12" x14ac:dyDescent="0.2">
      <c r="G194" s="55" t="s">
        <v>225</v>
      </c>
      <c r="H194" s="55" t="s">
        <v>257</v>
      </c>
      <c r="I194" s="55" t="s">
        <v>49</v>
      </c>
      <c r="J194" s="170" t="s">
        <v>432</v>
      </c>
      <c r="K194" s="171">
        <v>45664</v>
      </c>
      <c r="L194" s="172" t="s">
        <v>27</v>
      </c>
    </row>
    <row r="195" spans="7:12" x14ac:dyDescent="0.2">
      <c r="G195" s="55" t="s">
        <v>38</v>
      </c>
      <c r="H195" s="55" t="s">
        <v>192</v>
      </c>
      <c r="I195" s="55" t="s">
        <v>39</v>
      </c>
      <c r="J195" s="55" t="s">
        <v>433</v>
      </c>
      <c r="K195" s="56">
        <v>45665</v>
      </c>
      <c r="L195" s="140" t="s">
        <v>398</v>
      </c>
    </row>
    <row r="196" spans="7:12" x14ac:dyDescent="0.2">
      <c r="G196" s="55" t="s">
        <v>31</v>
      </c>
      <c r="H196" s="55" t="s">
        <v>250</v>
      </c>
      <c r="I196" s="55" t="s">
        <v>434</v>
      </c>
      <c r="J196" s="55" t="s">
        <v>435</v>
      </c>
      <c r="K196" s="56">
        <v>45870</v>
      </c>
      <c r="L196" s="140" t="s">
        <v>400</v>
      </c>
    </row>
    <row r="197" spans="7:12" x14ac:dyDescent="0.2">
      <c r="G197" s="55" t="s">
        <v>31</v>
      </c>
      <c r="H197" s="55" t="s">
        <v>205</v>
      </c>
      <c r="I197" s="55" t="s">
        <v>55</v>
      </c>
      <c r="J197" s="55" t="s">
        <v>436</v>
      </c>
      <c r="K197" s="56">
        <v>45870</v>
      </c>
      <c r="L197" s="140" t="s">
        <v>380</v>
      </c>
    </row>
    <row r="198" spans="7:12" x14ac:dyDescent="0.2">
      <c r="G198" s="55" t="s">
        <v>31</v>
      </c>
      <c r="H198" s="55" t="s">
        <v>273</v>
      </c>
      <c r="I198" s="55" t="s">
        <v>196</v>
      </c>
      <c r="J198" s="55" t="s">
        <v>276</v>
      </c>
      <c r="K198" s="56">
        <v>45870</v>
      </c>
      <c r="L198" s="140" t="s">
        <v>27</v>
      </c>
    </row>
    <row r="199" spans="7:12" x14ac:dyDescent="0.2">
      <c r="G199" s="55" t="s">
        <v>225</v>
      </c>
      <c r="H199" s="55" t="s">
        <v>205</v>
      </c>
      <c r="I199" s="55" t="s">
        <v>44</v>
      </c>
      <c r="J199" s="170" t="s">
        <v>437</v>
      </c>
      <c r="K199" s="171">
        <v>45665</v>
      </c>
      <c r="L199" s="172" t="s">
        <v>380</v>
      </c>
    </row>
    <row r="200" spans="7:12" x14ac:dyDescent="0.2">
      <c r="G200" s="55" t="s">
        <v>31</v>
      </c>
      <c r="H200" s="55" t="s">
        <v>341</v>
      </c>
      <c r="I200" s="55" t="s">
        <v>196</v>
      </c>
      <c r="J200" s="55" t="s">
        <v>438</v>
      </c>
      <c r="K200" s="56">
        <v>45870</v>
      </c>
      <c r="L200" s="140" t="s">
        <v>400</v>
      </c>
    </row>
    <row r="201" spans="7:12" x14ac:dyDescent="0.2">
      <c r="G201" s="55" t="s">
        <v>38</v>
      </c>
      <c r="H201" s="55" t="s">
        <v>383</v>
      </c>
      <c r="I201" s="55" t="s">
        <v>417</v>
      </c>
      <c r="J201" s="55" t="s">
        <v>439</v>
      </c>
      <c r="K201" s="56">
        <v>45901</v>
      </c>
      <c r="L201" s="140" t="s">
        <v>380</v>
      </c>
    </row>
    <row r="202" spans="7:12" x14ac:dyDescent="0.2">
      <c r="G202" s="55" t="s">
        <v>225</v>
      </c>
      <c r="H202" s="55" t="s">
        <v>230</v>
      </c>
      <c r="I202" s="55" t="s">
        <v>410</v>
      </c>
      <c r="J202" s="55" t="s">
        <v>411</v>
      </c>
      <c r="K202" s="56">
        <v>45901</v>
      </c>
      <c r="L202" s="140" t="s">
        <v>380</v>
      </c>
    </row>
    <row r="203" spans="7:12" x14ac:dyDescent="0.2">
      <c r="G203" s="55" t="s">
        <v>31</v>
      </c>
      <c r="H203" s="55" t="s">
        <v>202</v>
      </c>
      <c r="I203" s="55" t="s">
        <v>55</v>
      </c>
      <c r="J203" s="55" t="s">
        <v>402</v>
      </c>
      <c r="K203" s="56">
        <v>45901</v>
      </c>
      <c r="L203" s="140" t="s">
        <v>398</v>
      </c>
    </row>
    <row r="204" spans="7:12" x14ac:dyDescent="0.2">
      <c r="G204" s="55" t="s">
        <v>31</v>
      </c>
      <c r="H204" s="55" t="s">
        <v>205</v>
      </c>
      <c r="I204" s="55" t="s">
        <v>377</v>
      </c>
      <c r="J204" s="55" t="s">
        <v>440</v>
      </c>
      <c r="K204" s="56">
        <v>45901</v>
      </c>
      <c r="L204" s="140" t="s">
        <v>380</v>
      </c>
    </row>
    <row r="205" spans="7:12" x14ac:dyDescent="0.2">
      <c r="G205" s="55" t="s">
        <v>38</v>
      </c>
      <c r="H205" s="55" t="s">
        <v>288</v>
      </c>
      <c r="I205" s="55" t="s">
        <v>417</v>
      </c>
      <c r="J205" s="55" t="s">
        <v>441</v>
      </c>
      <c r="K205" s="56">
        <v>45667</v>
      </c>
      <c r="L205" s="140" t="s">
        <v>442</v>
      </c>
    </row>
    <row r="206" spans="7:12" x14ac:dyDescent="0.2">
      <c r="G206" s="55" t="s">
        <v>31</v>
      </c>
      <c r="H206" s="55" t="s">
        <v>192</v>
      </c>
      <c r="I206" s="55" t="s">
        <v>373</v>
      </c>
      <c r="J206" s="55" t="s">
        <v>443</v>
      </c>
      <c r="K206" s="56">
        <v>45931</v>
      </c>
      <c r="L206" s="140" t="s">
        <v>442</v>
      </c>
    </row>
    <row r="207" spans="7:12" x14ac:dyDescent="0.2">
      <c r="G207" s="55" t="s">
        <v>31</v>
      </c>
      <c r="H207" s="55" t="s">
        <v>205</v>
      </c>
      <c r="I207" s="55" t="s">
        <v>55</v>
      </c>
      <c r="J207" s="55" t="s">
        <v>444</v>
      </c>
      <c r="K207" s="56">
        <v>45931</v>
      </c>
      <c r="L207" s="140" t="s">
        <v>27</v>
      </c>
    </row>
    <row r="208" spans="7:12" x14ac:dyDescent="0.2">
      <c r="G208" s="55" t="s">
        <v>43</v>
      </c>
      <c r="H208" s="55" t="s">
        <v>250</v>
      </c>
      <c r="I208" s="55" t="s">
        <v>49</v>
      </c>
      <c r="J208" s="55" t="s">
        <v>445</v>
      </c>
      <c r="K208" s="56">
        <v>45668</v>
      </c>
      <c r="L208" s="140" t="s">
        <v>27</v>
      </c>
    </row>
    <row r="209" spans="7:12" ht="16" x14ac:dyDescent="0.2">
      <c r="G209" s="181" t="s">
        <v>31</v>
      </c>
      <c r="H209" s="181" t="s">
        <v>286</v>
      </c>
      <c r="I209" s="181" t="s">
        <v>55</v>
      </c>
      <c r="J209" s="181" t="s">
        <v>446</v>
      </c>
      <c r="K209" s="183" t="s">
        <v>447</v>
      </c>
      <c r="L209" s="182" t="s">
        <v>448</v>
      </c>
    </row>
    <row r="210" spans="7:12" x14ac:dyDescent="0.2">
      <c r="G210" s="152" t="s">
        <v>369</v>
      </c>
      <c r="H210" s="152" t="s">
        <v>370</v>
      </c>
      <c r="I210" s="152" t="s">
        <v>49</v>
      </c>
      <c r="J210" s="152" t="s">
        <v>371</v>
      </c>
      <c r="K210" s="173">
        <v>45664</v>
      </c>
      <c r="L210" s="153" t="s">
        <v>27</v>
      </c>
    </row>
    <row r="211" spans="7:12" ht="17" customHeight="1" x14ac:dyDescent="0.2">
      <c r="G211" s="152" t="s">
        <v>369</v>
      </c>
      <c r="H211" s="152" t="s">
        <v>370</v>
      </c>
      <c r="I211" s="152" t="s">
        <v>41</v>
      </c>
      <c r="J211" s="152" t="s">
        <v>371</v>
      </c>
      <c r="K211" s="173">
        <v>45664</v>
      </c>
      <c r="L211" s="153" t="s">
        <v>27</v>
      </c>
    </row>
    <row r="212" spans="7:12" ht="17" customHeight="1" x14ac:dyDescent="0.2">
      <c r="G212" s="152" t="s">
        <v>369</v>
      </c>
      <c r="H212" s="152" t="s">
        <v>372</v>
      </c>
      <c r="I212" s="152" t="s">
        <v>53</v>
      </c>
      <c r="J212" s="152" t="s">
        <v>371</v>
      </c>
      <c r="K212" s="173">
        <v>45665</v>
      </c>
      <c r="L212" s="174"/>
    </row>
    <row r="213" spans="7:12" ht="17" customHeight="1" x14ac:dyDescent="0.2">
      <c r="G213" s="152" t="s">
        <v>369</v>
      </c>
      <c r="H213" s="152" t="s">
        <v>372</v>
      </c>
      <c r="I213" s="152" t="s">
        <v>63</v>
      </c>
      <c r="J213" s="152" t="s">
        <v>371</v>
      </c>
      <c r="K213" s="173">
        <v>45665</v>
      </c>
      <c r="L213" s="153"/>
    </row>
    <row r="214" spans="7:12" ht="17" customHeight="1" x14ac:dyDescent="0.2">
      <c r="G214" s="152" t="s">
        <v>369</v>
      </c>
      <c r="H214" s="152" t="s">
        <v>370</v>
      </c>
      <c r="I214" s="152" t="s">
        <v>60</v>
      </c>
      <c r="J214" s="152" t="s">
        <v>371</v>
      </c>
      <c r="K214" s="184">
        <v>45666</v>
      </c>
      <c r="L214" s="153"/>
    </row>
    <row r="215" spans="7:12" ht="17" customHeight="1" x14ac:dyDescent="0.2">
      <c r="G215" s="152" t="s">
        <v>369</v>
      </c>
      <c r="H215" s="152" t="s">
        <v>370</v>
      </c>
      <c r="I215" s="152" t="s">
        <v>56</v>
      </c>
      <c r="J215" s="152" t="s">
        <v>371</v>
      </c>
      <c r="K215" s="184">
        <v>45667</v>
      </c>
      <c r="L215" s="153"/>
    </row>
    <row r="216" spans="7:12" x14ac:dyDescent="0.2">
      <c r="G216" s="154" t="s">
        <v>449</v>
      </c>
      <c r="H216" s="154" t="s">
        <v>449</v>
      </c>
      <c r="I216" s="154" t="s">
        <v>449</v>
      </c>
      <c r="J216" s="154" t="s">
        <v>449</v>
      </c>
      <c r="K216" s="155" t="s">
        <v>449</v>
      </c>
      <c r="L216" s="154" t="s">
        <v>449</v>
      </c>
    </row>
    <row r="217" spans="7:12" x14ac:dyDescent="0.2">
      <c r="G217" s="55" t="s">
        <v>38</v>
      </c>
      <c r="H217" s="55" t="s">
        <v>250</v>
      </c>
      <c r="I217" s="55" t="s">
        <v>39</v>
      </c>
      <c r="J217" s="55" t="s">
        <v>450</v>
      </c>
      <c r="K217" s="56" t="s">
        <v>451</v>
      </c>
      <c r="L217" s="140" t="s">
        <v>400</v>
      </c>
    </row>
    <row r="218" spans="7:12" x14ac:dyDescent="0.2">
      <c r="G218" s="55" t="s">
        <v>43</v>
      </c>
      <c r="H218" s="55" t="s">
        <v>205</v>
      </c>
      <c r="I218" s="55" t="s">
        <v>410</v>
      </c>
      <c r="J218" s="55" t="s">
        <v>452</v>
      </c>
      <c r="K218" s="56" t="s">
        <v>451</v>
      </c>
      <c r="L218" s="140" t="s">
        <v>380</v>
      </c>
    </row>
    <row r="219" spans="7:12" x14ac:dyDescent="0.2">
      <c r="G219" s="55" t="s">
        <v>38</v>
      </c>
      <c r="H219" s="55" t="s">
        <v>288</v>
      </c>
      <c r="I219" s="55" t="s">
        <v>39</v>
      </c>
      <c r="J219" s="55" t="s">
        <v>453</v>
      </c>
      <c r="K219" s="56" t="s">
        <v>454</v>
      </c>
      <c r="L219" s="140" t="s">
        <v>380</v>
      </c>
    </row>
    <row r="220" spans="7:12" x14ac:dyDescent="0.2">
      <c r="G220" s="55" t="s">
        <v>38</v>
      </c>
      <c r="H220" s="55" t="s">
        <v>383</v>
      </c>
      <c r="I220" s="55" t="s">
        <v>39</v>
      </c>
      <c r="J220" s="55" t="s">
        <v>455</v>
      </c>
      <c r="K220" s="56" t="s">
        <v>454</v>
      </c>
      <c r="L220" s="140" t="s">
        <v>398</v>
      </c>
    </row>
    <row r="221" spans="7:12" x14ac:dyDescent="0.2">
      <c r="G221" s="55" t="s">
        <v>38</v>
      </c>
      <c r="H221" s="55" t="s">
        <v>250</v>
      </c>
      <c r="I221" s="55" t="s">
        <v>384</v>
      </c>
      <c r="J221" s="55" t="s">
        <v>456</v>
      </c>
      <c r="K221" s="56" t="s">
        <v>457</v>
      </c>
      <c r="L221" s="140" t="s">
        <v>380</v>
      </c>
    </row>
    <row r="222" spans="7:12" x14ac:dyDescent="0.2">
      <c r="G222" s="55" t="s">
        <v>175</v>
      </c>
      <c r="H222" s="55" t="s">
        <v>230</v>
      </c>
      <c r="I222" s="55" t="s">
        <v>56</v>
      </c>
      <c r="J222" s="55" t="s">
        <v>458</v>
      </c>
      <c r="K222" s="56">
        <v>45672</v>
      </c>
      <c r="L222" s="140"/>
    </row>
    <row r="223" spans="7:12" x14ac:dyDescent="0.2">
      <c r="G223" s="55" t="s">
        <v>31</v>
      </c>
      <c r="H223" s="55" t="s">
        <v>213</v>
      </c>
      <c r="I223" s="55" t="s">
        <v>373</v>
      </c>
      <c r="J223" s="55" t="s">
        <v>459</v>
      </c>
      <c r="K223" s="56" t="s">
        <v>460</v>
      </c>
      <c r="L223" s="140" t="s">
        <v>380</v>
      </c>
    </row>
    <row r="224" spans="7:12" x14ac:dyDescent="0.2">
      <c r="G224" s="55" t="s">
        <v>31</v>
      </c>
      <c r="H224" s="55" t="s">
        <v>205</v>
      </c>
      <c r="I224" s="55" t="s">
        <v>434</v>
      </c>
      <c r="J224" s="55" t="s">
        <v>461</v>
      </c>
      <c r="K224" s="56" t="s">
        <v>460</v>
      </c>
      <c r="L224" s="140" t="s">
        <v>398</v>
      </c>
    </row>
    <row r="225" spans="7:17" x14ac:dyDescent="0.2">
      <c r="G225" s="55" t="s">
        <v>43</v>
      </c>
      <c r="H225" s="55" t="s">
        <v>257</v>
      </c>
      <c r="I225" s="55" t="s">
        <v>49</v>
      </c>
      <c r="J225" s="55" t="s">
        <v>432</v>
      </c>
      <c r="K225" s="56" t="s">
        <v>462</v>
      </c>
      <c r="L225" s="140" t="s">
        <v>27</v>
      </c>
    </row>
    <row r="226" spans="7:17" x14ac:dyDescent="0.2">
      <c r="G226" s="149" t="s">
        <v>369</v>
      </c>
      <c r="H226" s="149" t="s">
        <v>370</v>
      </c>
      <c r="I226" s="149" t="s">
        <v>63</v>
      </c>
      <c r="J226" s="149" t="s">
        <v>371</v>
      </c>
      <c r="K226" s="175" t="s">
        <v>457</v>
      </c>
      <c r="L226" s="176"/>
    </row>
    <row r="227" spans="7:17" x14ac:dyDescent="0.2">
      <c r="G227" s="61" t="s">
        <v>463</v>
      </c>
      <c r="H227" s="61" t="s">
        <v>463</v>
      </c>
      <c r="I227" s="61" t="s">
        <v>463</v>
      </c>
      <c r="J227" s="61" t="s">
        <v>463</v>
      </c>
      <c r="K227" s="216" t="s">
        <v>463</v>
      </c>
      <c r="L227" s="61" t="s">
        <v>463</v>
      </c>
    </row>
    <row r="228" spans="7:17" x14ac:dyDescent="0.2">
      <c r="G228" s="55" t="s">
        <v>175</v>
      </c>
      <c r="H228" s="55" t="s">
        <v>213</v>
      </c>
      <c r="I228" s="55" t="s">
        <v>24</v>
      </c>
      <c r="J228" s="55" t="s">
        <v>464</v>
      </c>
      <c r="K228" s="56" t="s">
        <v>465</v>
      </c>
      <c r="L228" s="140" t="s">
        <v>380</v>
      </c>
    </row>
    <row r="229" spans="7:17" x14ac:dyDescent="0.2">
      <c r="G229" s="55" t="s">
        <v>31</v>
      </c>
      <c r="H229" s="55" t="s">
        <v>213</v>
      </c>
      <c r="I229" s="55" t="s">
        <v>55</v>
      </c>
      <c r="J229" s="55" t="s">
        <v>459</v>
      </c>
      <c r="K229" s="56" t="s">
        <v>465</v>
      </c>
      <c r="L229" s="140" t="s">
        <v>380</v>
      </c>
    </row>
    <row r="230" spans="7:17" x14ac:dyDescent="0.2">
      <c r="G230" s="55" t="s">
        <v>38</v>
      </c>
      <c r="H230" s="55" t="s">
        <v>383</v>
      </c>
      <c r="I230" s="55" t="s">
        <v>417</v>
      </c>
      <c r="J230" s="55" t="s">
        <v>466</v>
      </c>
      <c r="K230" s="56" t="s">
        <v>467</v>
      </c>
      <c r="L230" s="140" t="s">
        <v>380</v>
      </c>
    </row>
    <row r="231" spans="7:17" x14ac:dyDescent="0.2">
      <c r="G231" s="55" t="s">
        <v>31</v>
      </c>
      <c r="H231" s="55" t="s">
        <v>341</v>
      </c>
      <c r="I231" s="55" t="s">
        <v>196</v>
      </c>
      <c r="J231" s="55" t="s">
        <v>468</v>
      </c>
      <c r="K231" s="56" t="s">
        <v>467</v>
      </c>
      <c r="L231" s="140" t="s">
        <v>398</v>
      </c>
    </row>
    <row r="232" spans="7:17" x14ac:dyDescent="0.2">
      <c r="G232" s="55" t="s">
        <v>31</v>
      </c>
      <c r="H232" s="55" t="s">
        <v>341</v>
      </c>
      <c r="I232" s="55" t="s">
        <v>193</v>
      </c>
      <c r="J232" s="55" t="s">
        <v>469</v>
      </c>
      <c r="K232" s="56" t="s">
        <v>467</v>
      </c>
      <c r="L232" s="140" t="s">
        <v>360</v>
      </c>
    </row>
    <row r="233" spans="7:17" x14ac:dyDescent="0.2">
      <c r="G233" s="55" t="s">
        <v>175</v>
      </c>
      <c r="H233" s="55" t="s">
        <v>205</v>
      </c>
      <c r="I233" s="55" t="s">
        <v>24</v>
      </c>
      <c r="J233" s="55" t="s">
        <v>470</v>
      </c>
      <c r="K233" s="56">
        <v>45678</v>
      </c>
      <c r="L233" s="140" t="s">
        <v>380</v>
      </c>
    </row>
    <row r="234" spans="7:17" x14ac:dyDescent="0.2">
      <c r="G234" s="55" t="s">
        <v>38</v>
      </c>
      <c r="H234" s="55" t="s">
        <v>250</v>
      </c>
      <c r="I234" s="55" t="s">
        <v>417</v>
      </c>
      <c r="J234" s="55" t="s">
        <v>471</v>
      </c>
      <c r="K234" s="56" t="s">
        <v>472</v>
      </c>
      <c r="L234" s="140" t="s">
        <v>442</v>
      </c>
    </row>
    <row r="235" spans="7:17" x14ac:dyDescent="0.2">
      <c r="G235" s="55" t="s">
        <v>31</v>
      </c>
      <c r="H235" s="55" t="s">
        <v>192</v>
      </c>
      <c r="I235" s="55" t="s">
        <v>60</v>
      </c>
      <c r="J235" s="55" t="s">
        <v>473</v>
      </c>
      <c r="K235" s="56" t="s">
        <v>472</v>
      </c>
      <c r="L235" s="140" t="s">
        <v>380</v>
      </c>
    </row>
    <row r="236" spans="7:17" x14ac:dyDescent="0.2">
      <c r="G236" s="55" t="s">
        <v>474</v>
      </c>
      <c r="H236" s="55" t="s">
        <v>475</v>
      </c>
      <c r="I236" s="55" t="s">
        <v>196</v>
      </c>
      <c r="J236" s="55" t="s">
        <v>476</v>
      </c>
      <c r="K236" s="56" t="s">
        <v>472</v>
      </c>
      <c r="L236" s="140" t="s">
        <v>477</v>
      </c>
    </row>
    <row r="237" spans="7:17" x14ac:dyDescent="0.2">
      <c r="G237" s="55" t="s">
        <v>43</v>
      </c>
      <c r="H237" s="55" t="s">
        <v>213</v>
      </c>
      <c r="I237" s="55" t="s">
        <v>410</v>
      </c>
      <c r="J237" s="55" t="s">
        <v>478</v>
      </c>
      <c r="K237" s="56" t="s">
        <v>479</v>
      </c>
      <c r="L237" s="140" t="s">
        <v>400</v>
      </c>
    </row>
    <row r="238" spans="7:17" x14ac:dyDescent="0.2">
      <c r="G238" s="55" t="s">
        <v>43</v>
      </c>
      <c r="H238" s="55" t="s">
        <v>230</v>
      </c>
      <c r="I238" s="55" t="s">
        <v>277</v>
      </c>
      <c r="J238" s="55" t="s">
        <v>480</v>
      </c>
      <c r="K238" s="56" t="s">
        <v>479</v>
      </c>
      <c r="L238" s="140" t="s">
        <v>380</v>
      </c>
    </row>
    <row r="239" spans="7:17" x14ac:dyDescent="0.2">
      <c r="G239" s="55" t="s">
        <v>43</v>
      </c>
      <c r="H239" s="55" t="s">
        <v>230</v>
      </c>
      <c r="I239" s="55" t="s">
        <v>410</v>
      </c>
      <c r="J239" s="55" t="s">
        <v>481</v>
      </c>
      <c r="K239" s="56" t="s">
        <v>479</v>
      </c>
      <c r="L239" s="140" t="s">
        <v>27</v>
      </c>
      <c r="M239" s="117"/>
      <c r="N239" s="117"/>
      <c r="O239" s="117"/>
      <c r="P239" s="117"/>
      <c r="Q239" s="117"/>
    </row>
    <row r="240" spans="7:17" x14ac:dyDescent="0.2">
      <c r="G240" s="120" t="s">
        <v>38</v>
      </c>
      <c r="H240" s="120" t="s">
        <v>383</v>
      </c>
      <c r="I240" s="120" t="s">
        <v>384</v>
      </c>
      <c r="J240" s="120" t="s">
        <v>386</v>
      </c>
      <c r="K240" s="123" t="s">
        <v>482</v>
      </c>
      <c r="L240" s="145" t="s">
        <v>27</v>
      </c>
      <c r="M240" s="117"/>
      <c r="N240" s="117"/>
      <c r="O240" s="117"/>
      <c r="P240" s="117"/>
      <c r="Q240" s="117"/>
    </row>
    <row r="241" spans="7:17" x14ac:dyDescent="0.2">
      <c r="G241" s="149" t="s">
        <v>369</v>
      </c>
      <c r="H241" s="149" t="s">
        <v>370</v>
      </c>
      <c r="I241" s="149" t="s">
        <v>373</v>
      </c>
      <c r="J241" s="149" t="s">
        <v>371</v>
      </c>
      <c r="K241" s="175" t="s">
        <v>465</v>
      </c>
      <c r="L241" s="176"/>
      <c r="M241" s="117"/>
      <c r="N241" s="117"/>
      <c r="O241" s="117"/>
      <c r="P241" s="117"/>
      <c r="Q241" s="117"/>
    </row>
    <row r="242" spans="7:17" x14ac:dyDescent="0.2">
      <c r="G242" s="149" t="s">
        <v>369</v>
      </c>
      <c r="H242" s="149" t="s">
        <v>370</v>
      </c>
      <c r="I242" s="149" t="s">
        <v>49</v>
      </c>
      <c r="J242" s="149" t="s">
        <v>371</v>
      </c>
      <c r="K242" s="175" t="s">
        <v>465</v>
      </c>
      <c r="L242" s="176"/>
      <c r="M242" s="117"/>
      <c r="N242" s="117"/>
      <c r="O242" s="117"/>
      <c r="P242" s="117"/>
      <c r="Q242" s="117"/>
    </row>
    <row r="243" spans="7:17" x14ac:dyDescent="0.2">
      <c r="G243" s="185" t="s">
        <v>369</v>
      </c>
      <c r="H243" s="185" t="s">
        <v>372</v>
      </c>
      <c r="I243" s="185" t="s">
        <v>68</v>
      </c>
      <c r="J243" s="185" t="s">
        <v>371</v>
      </c>
      <c r="K243" s="186" t="s">
        <v>465</v>
      </c>
      <c r="L243" s="187"/>
      <c r="M243" s="117"/>
      <c r="N243" s="117"/>
      <c r="O243" s="117"/>
      <c r="P243" s="117"/>
      <c r="Q243" s="117"/>
    </row>
    <row r="244" spans="7:17" x14ac:dyDescent="0.2">
      <c r="G244" s="152" t="s">
        <v>369</v>
      </c>
      <c r="H244" s="152" t="s">
        <v>370</v>
      </c>
      <c r="I244" s="152" t="s">
        <v>39</v>
      </c>
      <c r="J244" s="152" t="s">
        <v>371</v>
      </c>
      <c r="K244" s="188">
        <v>45678</v>
      </c>
      <c r="L244" s="153"/>
    </row>
    <row r="245" spans="7:17" x14ac:dyDescent="0.2">
      <c r="G245" s="189" t="s">
        <v>369</v>
      </c>
      <c r="H245" s="189" t="s">
        <v>370</v>
      </c>
      <c r="I245" s="189" t="s">
        <v>410</v>
      </c>
      <c r="J245" s="189" t="s">
        <v>371</v>
      </c>
      <c r="K245" s="188">
        <v>45679</v>
      </c>
      <c r="L245" s="190"/>
    </row>
    <row r="246" spans="7:17" x14ac:dyDescent="0.2">
      <c r="G246" s="149" t="s">
        <v>483</v>
      </c>
      <c r="H246" s="149" t="s">
        <v>370</v>
      </c>
      <c r="I246" s="149" t="s">
        <v>377</v>
      </c>
      <c r="J246" s="149" t="s">
        <v>371</v>
      </c>
      <c r="K246" s="188">
        <v>45679</v>
      </c>
      <c r="L246" s="176"/>
    </row>
    <row r="247" spans="7:17" x14ac:dyDescent="0.2">
      <c r="G247" s="149" t="s">
        <v>369</v>
      </c>
      <c r="H247" s="149" t="s">
        <v>370</v>
      </c>
      <c r="I247" s="149" t="s">
        <v>434</v>
      </c>
      <c r="J247" s="149" t="s">
        <v>371</v>
      </c>
      <c r="K247" s="193">
        <v>45679</v>
      </c>
      <c r="L247" s="176"/>
    </row>
    <row r="248" spans="7:17" x14ac:dyDescent="0.2">
      <c r="G248" s="149" t="s">
        <v>369</v>
      </c>
      <c r="H248" s="149" t="s">
        <v>370</v>
      </c>
      <c r="I248" s="149" t="s">
        <v>66</v>
      </c>
      <c r="J248" s="150" t="s">
        <v>371</v>
      </c>
      <c r="K248" s="188">
        <v>45680</v>
      </c>
      <c r="L248" s="151"/>
    </row>
    <row r="249" spans="7:17" x14ac:dyDescent="0.2">
      <c r="G249" s="149" t="s">
        <v>369</v>
      </c>
      <c r="H249" s="149" t="s">
        <v>370</v>
      </c>
      <c r="I249" s="149" t="s">
        <v>384</v>
      </c>
      <c r="J249" s="150" t="s">
        <v>371</v>
      </c>
      <c r="K249" s="173">
        <v>45681</v>
      </c>
      <c r="L249" s="151"/>
    </row>
    <row r="250" spans="7:17" x14ac:dyDescent="0.2">
      <c r="G250" s="154" t="s">
        <v>484</v>
      </c>
      <c r="H250" s="154" t="s">
        <v>484</v>
      </c>
      <c r="I250" s="154" t="s">
        <v>484</v>
      </c>
      <c r="J250" s="154" t="s">
        <v>484</v>
      </c>
      <c r="K250" s="155" t="s">
        <v>484</v>
      </c>
      <c r="L250" s="154" t="s">
        <v>484</v>
      </c>
    </row>
    <row r="251" spans="7:17" x14ac:dyDescent="0.2">
      <c r="G251" s="55" t="s">
        <v>31</v>
      </c>
      <c r="H251" s="55" t="s">
        <v>293</v>
      </c>
      <c r="I251" s="55" t="s">
        <v>373</v>
      </c>
      <c r="J251" s="55" t="s">
        <v>485</v>
      </c>
      <c r="K251" s="56" t="s">
        <v>486</v>
      </c>
      <c r="L251" s="140" t="s">
        <v>398</v>
      </c>
    </row>
    <row r="252" spans="7:17" x14ac:dyDescent="0.2">
      <c r="G252" s="55" t="s">
        <v>175</v>
      </c>
      <c r="H252" s="55" t="s">
        <v>230</v>
      </c>
      <c r="I252" s="55" t="s">
        <v>56</v>
      </c>
      <c r="J252" s="55" t="s">
        <v>487</v>
      </c>
      <c r="K252" s="56" t="s">
        <v>486</v>
      </c>
      <c r="L252" s="140" t="s">
        <v>380</v>
      </c>
    </row>
    <row r="253" spans="7:17" x14ac:dyDescent="0.2">
      <c r="G253" s="55" t="s">
        <v>38</v>
      </c>
      <c r="H253" s="55" t="s">
        <v>383</v>
      </c>
      <c r="I253" s="55" t="s">
        <v>384</v>
      </c>
      <c r="J253" s="55" t="s">
        <v>488</v>
      </c>
      <c r="K253" s="56" t="s">
        <v>486</v>
      </c>
      <c r="L253" s="140" t="s">
        <v>27</v>
      </c>
    </row>
    <row r="254" spans="7:17" x14ac:dyDescent="0.2">
      <c r="G254" s="55" t="s">
        <v>38</v>
      </c>
      <c r="H254" s="55" t="s">
        <v>288</v>
      </c>
      <c r="I254" s="55" t="s">
        <v>39</v>
      </c>
      <c r="J254" s="55" t="s">
        <v>453</v>
      </c>
      <c r="K254" s="56" t="s">
        <v>486</v>
      </c>
      <c r="L254" s="140" t="s">
        <v>27</v>
      </c>
    </row>
    <row r="255" spans="7:17" x14ac:dyDescent="0.2">
      <c r="G255" s="118" t="s">
        <v>31</v>
      </c>
      <c r="H255" s="118" t="s">
        <v>341</v>
      </c>
      <c r="I255" s="118" t="s">
        <v>193</v>
      </c>
      <c r="J255" s="118" t="s">
        <v>489</v>
      </c>
      <c r="K255" s="116" t="s">
        <v>490</v>
      </c>
      <c r="L255" s="141"/>
    </row>
    <row r="256" spans="7:17" x14ac:dyDescent="0.2">
      <c r="G256" s="55" t="s">
        <v>38</v>
      </c>
      <c r="H256" s="55" t="s">
        <v>288</v>
      </c>
      <c r="I256" s="55" t="s">
        <v>384</v>
      </c>
      <c r="J256" s="55" t="s">
        <v>491</v>
      </c>
      <c r="K256" s="56" t="s">
        <v>492</v>
      </c>
      <c r="L256" s="140" t="s">
        <v>27</v>
      </c>
    </row>
    <row r="257" spans="7:12" x14ac:dyDescent="0.2">
      <c r="G257" s="55" t="s">
        <v>175</v>
      </c>
      <c r="H257" s="55" t="s">
        <v>205</v>
      </c>
      <c r="I257" s="55" t="s">
        <v>56</v>
      </c>
      <c r="J257" s="55" t="s">
        <v>493</v>
      </c>
      <c r="K257" s="56" t="s">
        <v>492</v>
      </c>
      <c r="L257" s="140" t="s">
        <v>398</v>
      </c>
    </row>
    <row r="258" spans="7:12" x14ac:dyDescent="0.2">
      <c r="G258" s="55" t="s">
        <v>43</v>
      </c>
      <c r="H258" s="55" t="s">
        <v>207</v>
      </c>
      <c r="I258" s="55" t="s">
        <v>44</v>
      </c>
      <c r="J258" s="55" t="s">
        <v>494</v>
      </c>
      <c r="K258" s="56" t="s">
        <v>492</v>
      </c>
      <c r="L258" s="140" t="s">
        <v>380</v>
      </c>
    </row>
    <row r="259" spans="7:12" x14ac:dyDescent="0.2">
      <c r="G259" s="119" t="s">
        <v>31</v>
      </c>
      <c r="H259" s="119" t="s">
        <v>205</v>
      </c>
      <c r="I259" s="119" t="s">
        <v>55</v>
      </c>
      <c r="J259" s="119" t="s">
        <v>495</v>
      </c>
      <c r="K259" s="56" t="s">
        <v>492</v>
      </c>
      <c r="L259" s="142"/>
    </row>
    <row r="260" spans="7:12" x14ac:dyDescent="0.2">
      <c r="G260" s="55" t="s">
        <v>38</v>
      </c>
      <c r="H260" s="55" t="s">
        <v>250</v>
      </c>
      <c r="I260" s="55" t="s">
        <v>384</v>
      </c>
      <c r="J260" s="55" t="s">
        <v>496</v>
      </c>
      <c r="K260" s="56" t="s">
        <v>492</v>
      </c>
      <c r="L260" s="140" t="s">
        <v>380</v>
      </c>
    </row>
    <row r="261" spans="7:12" x14ac:dyDescent="0.2">
      <c r="G261" s="152" t="s">
        <v>369</v>
      </c>
      <c r="H261" s="152" t="s">
        <v>370</v>
      </c>
      <c r="I261" s="152" t="s">
        <v>73</v>
      </c>
      <c r="J261" s="152" t="s">
        <v>371</v>
      </c>
      <c r="K261" s="173">
        <v>45684</v>
      </c>
      <c r="L261" s="153"/>
    </row>
    <row r="262" spans="7:12" x14ac:dyDescent="0.2">
      <c r="G262" s="152" t="s">
        <v>369</v>
      </c>
      <c r="H262" s="152" t="s">
        <v>370</v>
      </c>
      <c r="I262" s="152" t="s">
        <v>49</v>
      </c>
      <c r="J262" s="152" t="s">
        <v>371</v>
      </c>
      <c r="K262" s="173">
        <v>45684</v>
      </c>
      <c r="L262" s="153"/>
    </row>
    <row r="263" spans="7:12" x14ac:dyDescent="0.2">
      <c r="G263" s="152" t="s">
        <v>369</v>
      </c>
      <c r="H263" s="152" t="s">
        <v>370</v>
      </c>
      <c r="I263" s="152" t="s">
        <v>68</v>
      </c>
      <c r="J263" s="152" t="s">
        <v>371</v>
      </c>
      <c r="K263" s="173">
        <v>45684</v>
      </c>
      <c r="L263" s="153"/>
    </row>
    <row r="264" spans="7:12" x14ac:dyDescent="0.2">
      <c r="G264" s="152" t="s">
        <v>369</v>
      </c>
      <c r="H264" s="152" t="s">
        <v>370</v>
      </c>
      <c r="I264" s="152" t="s">
        <v>24</v>
      </c>
      <c r="J264" s="152" t="s">
        <v>371</v>
      </c>
      <c r="K264" s="173">
        <v>45685</v>
      </c>
      <c r="L264" s="153"/>
    </row>
    <row r="265" spans="7:12" x14ac:dyDescent="0.2">
      <c r="G265" s="152" t="s">
        <v>369</v>
      </c>
      <c r="H265" s="152" t="s">
        <v>370</v>
      </c>
      <c r="I265" s="152" t="s">
        <v>417</v>
      </c>
      <c r="J265" s="152" t="s">
        <v>371</v>
      </c>
      <c r="K265" s="173">
        <v>45685</v>
      </c>
      <c r="L265" s="153"/>
    </row>
    <row r="266" spans="7:12" x14ac:dyDescent="0.2">
      <c r="G266" s="152" t="s">
        <v>369</v>
      </c>
      <c r="H266" s="152" t="s">
        <v>370</v>
      </c>
      <c r="I266" s="152" t="s">
        <v>53</v>
      </c>
      <c r="J266" s="152" t="s">
        <v>371</v>
      </c>
      <c r="K266" s="173">
        <v>45686</v>
      </c>
      <c r="L266" s="153"/>
    </row>
    <row r="267" spans="7:12" x14ac:dyDescent="0.2">
      <c r="G267" s="152" t="s">
        <v>369</v>
      </c>
      <c r="H267" s="152" t="s">
        <v>370</v>
      </c>
      <c r="I267" s="152" t="s">
        <v>497</v>
      </c>
      <c r="J267" s="152" t="s">
        <v>371</v>
      </c>
      <c r="K267" s="173">
        <v>45686</v>
      </c>
      <c r="L267" s="153"/>
    </row>
    <row r="268" spans="7:12" x14ac:dyDescent="0.2">
      <c r="G268" s="191" t="s">
        <v>369</v>
      </c>
      <c r="H268" s="191" t="s">
        <v>370</v>
      </c>
      <c r="I268" s="191" t="s">
        <v>44</v>
      </c>
      <c r="J268" s="191" t="s">
        <v>371</v>
      </c>
      <c r="K268" s="173">
        <v>45686</v>
      </c>
      <c r="L268" s="192"/>
    </row>
    <row r="269" spans="7:12" x14ac:dyDescent="0.2">
      <c r="G269" s="154" t="s">
        <v>498</v>
      </c>
      <c r="H269" s="154" t="s">
        <v>498</v>
      </c>
      <c r="I269" s="154" t="s">
        <v>498</v>
      </c>
      <c r="J269" s="154" t="s">
        <v>498</v>
      </c>
      <c r="K269" s="155" t="s">
        <v>498</v>
      </c>
      <c r="L269" s="154" t="s">
        <v>498</v>
      </c>
    </row>
    <row r="270" spans="7:12" x14ac:dyDescent="0.2">
      <c r="G270" s="120" t="s">
        <v>175</v>
      </c>
      <c r="H270" s="120" t="s">
        <v>205</v>
      </c>
      <c r="I270" s="120" t="s">
        <v>41</v>
      </c>
      <c r="J270" s="120" t="s">
        <v>499</v>
      </c>
      <c r="K270" s="123">
        <v>45691</v>
      </c>
      <c r="L270" s="145" t="s">
        <v>398</v>
      </c>
    </row>
    <row r="271" spans="7:12" x14ac:dyDescent="0.2">
      <c r="G271" s="55" t="s">
        <v>43</v>
      </c>
      <c r="H271" s="55" t="s">
        <v>230</v>
      </c>
      <c r="I271" s="55" t="s">
        <v>277</v>
      </c>
      <c r="J271" s="55" t="s">
        <v>500</v>
      </c>
      <c r="K271" s="56">
        <v>45691</v>
      </c>
      <c r="L271" s="55" t="s">
        <v>27</v>
      </c>
    </row>
    <row r="272" spans="7:12" x14ac:dyDescent="0.2">
      <c r="G272" s="120" t="s">
        <v>31</v>
      </c>
      <c r="H272" s="120" t="s">
        <v>205</v>
      </c>
      <c r="I272" s="120" t="s">
        <v>377</v>
      </c>
      <c r="J272" s="120" t="s">
        <v>501</v>
      </c>
      <c r="K272" s="123">
        <v>45749</v>
      </c>
      <c r="L272" s="145" t="s">
        <v>398</v>
      </c>
    </row>
    <row r="273" spans="7:12" x14ac:dyDescent="0.2">
      <c r="G273" s="120" t="s">
        <v>31</v>
      </c>
      <c r="H273" s="120" t="s">
        <v>205</v>
      </c>
      <c r="I273" s="120" t="s">
        <v>373</v>
      </c>
      <c r="J273" s="120" t="s">
        <v>502</v>
      </c>
      <c r="K273" s="123">
        <v>45749</v>
      </c>
      <c r="L273" s="145" t="s">
        <v>398</v>
      </c>
    </row>
    <row r="274" spans="7:12" x14ac:dyDescent="0.2">
      <c r="G274" s="55" t="s">
        <v>38</v>
      </c>
      <c r="H274" s="55" t="s">
        <v>341</v>
      </c>
      <c r="I274" s="120" t="s">
        <v>196</v>
      </c>
      <c r="J274" s="55" t="s">
        <v>503</v>
      </c>
      <c r="K274" s="56">
        <v>45749</v>
      </c>
      <c r="L274" s="140" t="s">
        <v>398</v>
      </c>
    </row>
    <row r="275" spans="7:12" x14ac:dyDescent="0.2">
      <c r="G275" s="120" t="s">
        <v>31</v>
      </c>
      <c r="H275" s="194" t="s">
        <v>192</v>
      </c>
      <c r="I275" s="120" t="s">
        <v>60</v>
      </c>
      <c r="J275" s="199" t="s">
        <v>504</v>
      </c>
      <c r="K275" s="123">
        <v>45749</v>
      </c>
      <c r="L275" s="145" t="s">
        <v>380</v>
      </c>
    </row>
    <row r="276" spans="7:12" x14ac:dyDescent="0.2">
      <c r="G276" s="209" t="s">
        <v>31</v>
      </c>
      <c r="H276" s="210" t="s">
        <v>205</v>
      </c>
      <c r="I276" s="211" t="s">
        <v>55</v>
      </c>
      <c r="J276" s="211" t="s">
        <v>505</v>
      </c>
      <c r="K276" s="212">
        <v>45779</v>
      </c>
      <c r="L276" s="213">
        <v>4</v>
      </c>
    </row>
    <row r="277" spans="7:12" x14ac:dyDescent="0.2">
      <c r="G277" s="55" t="s">
        <v>31</v>
      </c>
      <c r="H277" s="55" t="s">
        <v>205</v>
      </c>
      <c r="I277" s="55" t="s">
        <v>377</v>
      </c>
      <c r="J277" s="55" t="s">
        <v>506</v>
      </c>
      <c r="K277" s="56">
        <v>45810</v>
      </c>
      <c r="L277" s="140" t="s">
        <v>398</v>
      </c>
    </row>
    <row r="278" spans="7:12" x14ac:dyDescent="0.2">
      <c r="G278" s="214" t="s">
        <v>369</v>
      </c>
      <c r="H278" s="214" t="s">
        <v>370</v>
      </c>
      <c r="I278" s="214" t="s">
        <v>196</v>
      </c>
      <c r="J278" s="214" t="s">
        <v>371</v>
      </c>
      <c r="K278" s="173">
        <v>45749</v>
      </c>
      <c r="L278" s="215"/>
    </row>
    <row r="279" spans="7:12" x14ac:dyDescent="0.2">
      <c r="G279" s="214" t="s">
        <v>369</v>
      </c>
      <c r="H279" s="214" t="s">
        <v>370</v>
      </c>
      <c r="I279" s="214" t="s">
        <v>49</v>
      </c>
      <c r="J279" s="214" t="s">
        <v>371</v>
      </c>
      <c r="K279" s="173">
        <v>45693</v>
      </c>
      <c r="L279" s="215"/>
    </row>
    <row r="280" spans="7:12" x14ac:dyDescent="0.2">
      <c r="G280" s="214" t="s">
        <v>369</v>
      </c>
      <c r="H280" s="214" t="s">
        <v>370</v>
      </c>
      <c r="I280" s="214" t="s">
        <v>36</v>
      </c>
      <c r="J280" s="214" t="s">
        <v>371</v>
      </c>
      <c r="K280" s="173">
        <v>45694</v>
      </c>
      <c r="L280" s="215"/>
    </row>
    <row r="281" spans="7:12" x14ac:dyDescent="0.2">
      <c r="G281" s="185" t="s">
        <v>483</v>
      </c>
      <c r="H281" s="185" t="s">
        <v>372</v>
      </c>
      <c r="I281" s="185" t="s">
        <v>155</v>
      </c>
      <c r="J281" s="185" t="s">
        <v>371</v>
      </c>
      <c r="K281" s="173">
        <v>45694</v>
      </c>
      <c r="L281" s="187"/>
    </row>
    <row r="282" spans="7:12" x14ac:dyDescent="0.2">
      <c r="G282" s="61" t="s">
        <v>507</v>
      </c>
      <c r="H282" s="61" t="s">
        <v>507</v>
      </c>
      <c r="I282" s="61" t="s">
        <v>507</v>
      </c>
      <c r="J282" s="61" t="s">
        <v>507</v>
      </c>
      <c r="K282" s="216" t="s">
        <v>507</v>
      </c>
      <c r="L282" s="217" t="s">
        <v>507</v>
      </c>
    </row>
    <row r="283" spans="7:12" x14ac:dyDescent="0.2">
      <c r="G283" s="55" t="s">
        <v>38</v>
      </c>
      <c r="H283" s="55" t="s">
        <v>192</v>
      </c>
      <c r="I283" s="55" t="s">
        <v>384</v>
      </c>
      <c r="J283" s="55" t="s">
        <v>508</v>
      </c>
      <c r="K283" s="123">
        <v>45932</v>
      </c>
      <c r="L283" s="120">
        <v>4</v>
      </c>
    </row>
    <row r="284" spans="7:12" x14ac:dyDescent="0.2">
      <c r="G284" s="120" t="s">
        <v>175</v>
      </c>
      <c r="H284" s="120" t="s">
        <v>250</v>
      </c>
      <c r="I284" s="120" t="s">
        <v>41</v>
      </c>
      <c r="J284" s="120" t="s">
        <v>509</v>
      </c>
      <c r="K284" s="123">
        <v>45932</v>
      </c>
      <c r="L284" s="120">
        <v>3</v>
      </c>
    </row>
    <row r="285" spans="7:12" x14ac:dyDescent="0.2">
      <c r="G285" s="120" t="s">
        <v>31</v>
      </c>
      <c r="H285" s="120" t="s">
        <v>230</v>
      </c>
      <c r="I285" s="120" t="s">
        <v>55</v>
      </c>
      <c r="J285" s="120" t="s">
        <v>510</v>
      </c>
      <c r="K285" s="123">
        <v>45932</v>
      </c>
      <c r="L285" s="120">
        <v>4</v>
      </c>
    </row>
    <row r="286" spans="7:12" x14ac:dyDescent="0.2">
      <c r="G286" s="120" t="s">
        <v>31</v>
      </c>
      <c r="H286" s="120" t="s">
        <v>205</v>
      </c>
      <c r="I286" s="120" t="s">
        <v>434</v>
      </c>
      <c r="J286" s="120" t="s">
        <v>511</v>
      </c>
      <c r="K286" s="123">
        <v>45932</v>
      </c>
      <c r="L286" s="120">
        <v>3</v>
      </c>
    </row>
    <row r="287" spans="7:12" x14ac:dyDescent="0.2">
      <c r="G287" s="120" t="s">
        <v>31</v>
      </c>
      <c r="H287" s="120" t="s">
        <v>205</v>
      </c>
      <c r="I287" s="120" t="s">
        <v>373</v>
      </c>
      <c r="J287" s="120" t="s">
        <v>512</v>
      </c>
      <c r="K287" s="123">
        <v>45963</v>
      </c>
      <c r="L287" s="120">
        <v>4</v>
      </c>
    </row>
    <row r="288" spans="7:12" x14ac:dyDescent="0.2">
      <c r="G288" s="120" t="s">
        <v>31</v>
      </c>
      <c r="H288" s="120" t="s">
        <v>192</v>
      </c>
      <c r="I288" s="120" t="s">
        <v>60</v>
      </c>
      <c r="J288" s="120" t="s">
        <v>513</v>
      </c>
      <c r="K288" s="123">
        <v>45963</v>
      </c>
      <c r="L288" s="120">
        <v>4</v>
      </c>
    </row>
    <row r="289" spans="7:12" x14ac:dyDescent="0.2">
      <c r="G289" s="123" t="s">
        <v>175</v>
      </c>
      <c r="H289" s="120" t="s">
        <v>358</v>
      </c>
      <c r="I289" s="120" t="s">
        <v>41</v>
      </c>
      <c r="J289" s="120" t="s">
        <v>514</v>
      </c>
      <c r="K289" s="123">
        <v>45963</v>
      </c>
      <c r="L289" s="145" t="s">
        <v>380</v>
      </c>
    </row>
    <row r="290" spans="7:12" x14ac:dyDescent="0.2">
      <c r="G290" s="123" t="s">
        <v>225</v>
      </c>
      <c r="H290" s="120" t="s">
        <v>230</v>
      </c>
      <c r="I290" s="120" t="s">
        <v>410</v>
      </c>
      <c r="J290" s="120" t="s">
        <v>515</v>
      </c>
      <c r="K290" s="123">
        <v>45963</v>
      </c>
      <c r="L290" s="145" t="s">
        <v>27</v>
      </c>
    </row>
    <row r="291" spans="7:12" x14ac:dyDescent="0.2">
      <c r="G291" s="123" t="s">
        <v>38</v>
      </c>
      <c r="H291" s="120" t="s">
        <v>383</v>
      </c>
      <c r="I291" s="120" t="s">
        <v>63</v>
      </c>
      <c r="J291" s="120" t="s">
        <v>516</v>
      </c>
      <c r="K291" s="123">
        <v>45993</v>
      </c>
      <c r="L291" s="145" t="s">
        <v>398</v>
      </c>
    </row>
    <row r="292" spans="7:12" x14ac:dyDescent="0.2">
      <c r="G292" s="123" t="s">
        <v>31</v>
      </c>
      <c r="H292" s="120" t="s">
        <v>341</v>
      </c>
      <c r="I292" s="120" t="s">
        <v>196</v>
      </c>
      <c r="J292" s="120" t="s">
        <v>517</v>
      </c>
      <c r="K292" s="123">
        <v>45993</v>
      </c>
      <c r="L292" s="145" t="s">
        <v>398</v>
      </c>
    </row>
    <row r="293" spans="7:12" x14ac:dyDescent="0.2">
      <c r="G293" s="123" t="s">
        <v>31</v>
      </c>
      <c r="H293" s="120" t="s">
        <v>390</v>
      </c>
      <c r="I293" s="120" t="s">
        <v>377</v>
      </c>
      <c r="J293" s="120" t="s">
        <v>518</v>
      </c>
      <c r="K293" s="123" t="s">
        <v>519</v>
      </c>
      <c r="L293" s="145" t="s">
        <v>380</v>
      </c>
    </row>
    <row r="294" spans="7:12" x14ac:dyDescent="0.2">
      <c r="G294" s="123" t="s">
        <v>31</v>
      </c>
      <c r="H294" s="120" t="s">
        <v>205</v>
      </c>
      <c r="I294" s="120" t="s">
        <v>55</v>
      </c>
      <c r="J294" s="120" t="s">
        <v>512</v>
      </c>
      <c r="K294" s="123" t="s">
        <v>519</v>
      </c>
      <c r="L294" s="145" t="s">
        <v>380</v>
      </c>
    </row>
    <row r="295" spans="7:12" x14ac:dyDescent="0.2">
      <c r="G295" s="123" t="s">
        <v>31</v>
      </c>
      <c r="H295" s="120" t="s">
        <v>288</v>
      </c>
      <c r="I295" s="120" t="s">
        <v>60</v>
      </c>
      <c r="J295" s="120" t="s">
        <v>381</v>
      </c>
      <c r="K295" s="123" t="s">
        <v>519</v>
      </c>
      <c r="L295" s="145" t="s">
        <v>380</v>
      </c>
    </row>
    <row r="296" spans="7:12" x14ac:dyDescent="0.2">
      <c r="G296" s="123" t="s">
        <v>31</v>
      </c>
      <c r="H296" s="120" t="s">
        <v>273</v>
      </c>
      <c r="I296" s="120" t="s">
        <v>193</v>
      </c>
      <c r="J296" s="120" t="s">
        <v>520</v>
      </c>
      <c r="K296" s="123" t="s">
        <v>519</v>
      </c>
      <c r="L296" s="145" t="s">
        <v>360</v>
      </c>
    </row>
    <row r="297" spans="7:12" x14ac:dyDescent="0.2">
      <c r="G297" s="123" t="s">
        <v>31</v>
      </c>
      <c r="H297" s="120" t="s">
        <v>257</v>
      </c>
      <c r="I297" s="120" t="s">
        <v>196</v>
      </c>
      <c r="J297" s="120" t="s">
        <v>521</v>
      </c>
      <c r="K297" s="123" t="s">
        <v>519</v>
      </c>
      <c r="L297" s="145" t="s">
        <v>380</v>
      </c>
    </row>
    <row r="298" spans="7:12" x14ac:dyDescent="0.2">
      <c r="G298" s="123" t="s">
        <v>38</v>
      </c>
      <c r="H298" s="120" t="s">
        <v>192</v>
      </c>
      <c r="I298" s="120" t="s">
        <v>417</v>
      </c>
      <c r="J298" s="120" t="s">
        <v>522</v>
      </c>
      <c r="K298" s="123" t="s">
        <v>523</v>
      </c>
      <c r="L298" s="145" t="s">
        <v>398</v>
      </c>
    </row>
    <row r="299" spans="7:12" x14ac:dyDescent="0.2">
      <c r="G299" s="123" t="s">
        <v>225</v>
      </c>
      <c r="H299" s="120" t="s">
        <v>250</v>
      </c>
      <c r="I299" s="120" t="s">
        <v>68</v>
      </c>
      <c r="J299" s="120" t="s">
        <v>524</v>
      </c>
      <c r="K299" s="123" t="s">
        <v>523</v>
      </c>
      <c r="L299" s="145" t="s">
        <v>398</v>
      </c>
    </row>
    <row r="300" spans="7:12" x14ac:dyDescent="0.2">
      <c r="G300" s="218" t="s">
        <v>369</v>
      </c>
      <c r="H300" s="185" t="s">
        <v>370</v>
      </c>
      <c r="I300" s="185" t="s">
        <v>155</v>
      </c>
      <c r="J300" s="185" t="s">
        <v>371</v>
      </c>
      <c r="K300" s="186" t="s">
        <v>519</v>
      </c>
      <c r="L300" s="187"/>
    </row>
    <row r="301" spans="7:12" x14ac:dyDescent="0.2">
      <c r="G301" s="218" t="s">
        <v>369</v>
      </c>
      <c r="H301" s="185" t="s">
        <v>370</v>
      </c>
      <c r="I301" s="185" t="s">
        <v>417</v>
      </c>
      <c r="J301" s="185" t="s">
        <v>371</v>
      </c>
      <c r="K301" s="186" t="s">
        <v>523</v>
      </c>
      <c r="L301" s="187"/>
    </row>
    <row r="302" spans="7:12" x14ac:dyDescent="0.2">
      <c r="G302" s="228" t="s">
        <v>525</v>
      </c>
      <c r="H302" s="228" t="s">
        <v>525</v>
      </c>
      <c r="I302" s="228" t="s">
        <v>525</v>
      </c>
      <c r="J302" s="228" t="s">
        <v>525</v>
      </c>
      <c r="K302" s="229" t="s">
        <v>525</v>
      </c>
      <c r="L302" s="230" t="s">
        <v>525</v>
      </c>
    </row>
    <row r="303" spans="7:12" x14ac:dyDescent="0.2">
      <c r="G303" s="119" t="s">
        <v>31</v>
      </c>
      <c r="H303" s="119" t="s">
        <v>390</v>
      </c>
      <c r="I303" s="119" t="s">
        <v>434</v>
      </c>
      <c r="J303" s="119" t="s">
        <v>526</v>
      </c>
      <c r="K303" s="122" t="s">
        <v>527</v>
      </c>
      <c r="L303" s="142">
        <v>4</v>
      </c>
    </row>
    <row r="304" spans="7:12" x14ac:dyDescent="0.2">
      <c r="G304" s="122" t="s">
        <v>225</v>
      </c>
      <c r="H304" s="119" t="s">
        <v>250</v>
      </c>
      <c r="I304" s="119" t="s">
        <v>68</v>
      </c>
      <c r="J304" s="119" t="s">
        <v>528</v>
      </c>
      <c r="K304" s="122" t="s">
        <v>527</v>
      </c>
      <c r="L304" s="142" t="s">
        <v>398</v>
      </c>
    </row>
    <row r="305" spans="7:12" x14ac:dyDescent="0.2">
      <c r="G305" s="122" t="s">
        <v>225</v>
      </c>
      <c r="H305" s="119" t="s">
        <v>230</v>
      </c>
      <c r="I305" s="119" t="s">
        <v>410</v>
      </c>
      <c r="J305" s="119" t="s">
        <v>515</v>
      </c>
      <c r="K305" s="122" t="s">
        <v>527</v>
      </c>
      <c r="L305" s="142" t="s">
        <v>27</v>
      </c>
    </row>
    <row r="306" spans="7:12" x14ac:dyDescent="0.2">
      <c r="G306" s="122" t="s">
        <v>225</v>
      </c>
      <c r="H306" s="119" t="s">
        <v>529</v>
      </c>
      <c r="I306" s="119" t="s">
        <v>49</v>
      </c>
      <c r="J306" s="119" t="s">
        <v>530</v>
      </c>
      <c r="K306" s="122" t="s">
        <v>527</v>
      </c>
      <c r="L306" s="142" t="s">
        <v>400</v>
      </c>
    </row>
    <row r="307" spans="7:12" x14ac:dyDescent="0.2">
      <c r="G307" s="122" t="s">
        <v>225</v>
      </c>
      <c r="H307" s="119" t="s">
        <v>230</v>
      </c>
      <c r="I307" s="119" t="s">
        <v>410</v>
      </c>
      <c r="J307" s="119" t="s">
        <v>531</v>
      </c>
      <c r="K307" s="122" t="s">
        <v>532</v>
      </c>
      <c r="L307" s="142" t="s">
        <v>398</v>
      </c>
    </row>
    <row r="308" spans="7:12" x14ac:dyDescent="0.2">
      <c r="G308" s="122" t="s">
        <v>225</v>
      </c>
      <c r="H308" s="119" t="s">
        <v>192</v>
      </c>
      <c r="I308" s="119" t="s">
        <v>49</v>
      </c>
      <c r="J308" s="119" t="s">
        <v>533</v>
      </c>
      <c r="K308" s="122" t="s">
        <v>534</v>
      </c>
      <c r="L308" s="142" t="s">
        <v>400</v>
      </c>
    </row>
    <row r="309" spans="7:12" x14ac:dyDescent="0.2">
      <c r="G309" s="122" t="s">
        <v>43</v>
      </c>
      <c r="H309" s="119" t="s">
        <v>230</v>
      </c>
      <c r="I309" s="119" t="s">
        <v>66</v>
      </c>
      <c r="J309" s="119" t="s">
        <v>535</v>
      </c>
      <c r="K309" s="122" t="s">
        <v>532</v>
      </c>
      <c r="L309" s="142" t="s">
        <v>27</v>
      </c>
    </row>
    <row r="310" spans="7:12" x14ac:dyDescent="0.2">
      <c r="G310" s="122" t="s">
        <v>43</v>
      </c>
      <c r="H310" s="119" t="s">
        <v>250</v>
      </c>
      <c r="I310" s="119" t="s">
        <v>44</v>
      </c>
      <c r="J310" s="119" t="s">
        <v>536</v>
      </c>
      <c r="K310" s="122" t="s">
        <v>532</v>
      </c>
      <c r="L310" s="142" t="s">
        <v>27</v>
      </c>
    </row>
    <row r="311" spans="7:12" x14ac:dyDescent="0.2">
      <c r="G311" s="122" t="s">
        <v>38</v>
      </c>
      <c r="H311" s="119" t="s">
        <v>537</v>
      </c>
      <c r="I311" s="119" t="s">
        <v>36</v>
      </c>
      <c r="J311" s="119" t="s">
        <v>538</v>
      </c>
      <c r="K311" s="122" t="s">
        <v>532</v>
      </c>
      <c r="L311" s="142" t="s">
        <v>400</v>
      </c>
    </row>
    <row r="312" spans="7:12" x14ac:dyDescent="0.2">
      <c r="G312" s="122" t="s">
        <v>175</v>
      </c>
      <c r="H312" s="119" t="s">
        <v>213</v>
      </c>
      <c r="I312" s="119" t="s">
        <v>56</v>
      </c>
      <c r="J312" s="119" t="s">
        <v>539</v>
      </c>
      <c r="K312" s="122" t="s">
        <v>532</v>
      </c>
      <c r="L312" s="142" t="s">
        <v>398</v>
      </c>
    </row>
    <row r="313" spans="7:12" x14ac:dyDescent="0.2">
      <c r="G313" s="122" t="s">
        <v>43</v>
      </c>
      <c r="H313" s="119" t="s">
        <v>540</v>
      </c>
      <c r="I313" s="119" t="s">
        <v>66</v>
      </c>
      <c r="J313" s="119" t="s">
        <v>541</v>
      </c>
      <c r="K313" s="122" t="s">
        <v>534</v>
      </c>
      <c r="L313" s="142" t="s">
        <v>27</v>
      </c>
    </row>
    <row r="314" spans="7:12" x14ac:dyDescent="0.2">
      <c r="G314" s="122" t="s">
        <v>43</v>
      </c>
      <c r="H314" s="119" t="s">
        <v>540</v>
      </c>
      <c r="I314" s="119" t="s">
        <v>44</v>
      </c>
      <c r="J314" s="119" t="s">
        <v>542</v>
      </c>
      <c r="K314" s="122" t="s">
        <v>534</v>
      </c>
      <c r="L314" s="142" t="s">
        <v>27</v>
      </c>
    </row>
    <row r="315" spans="7:12" x14ac:dyDescent="0.2">
      <c r="G315" s="122" t="s">
        <v>31</v>
      </c>
      <c r="H315" s="119" t="s">
        <v>390</v>
      </c>
      <c r="I315" s="119" t="s">
        <v>377</v>
      </c>
      <c r="J315" s="119" t="s">
        <v>543</v>
      </c>
      <c r="K315" s="122" t="s">
        <v>534</v>
      </c>
      <c r="L315" s="142" t="s">
        <v>380</v>
      </c>
    </row>
    <row r="316" spans="7:12" x14ac:dyDescent="0.2">
      <c r="G316" s="122" t="s">
        <v>38</v>
      </c>
      <c r="H316" s="119" t="s">
        <v>192</v>
      </c>
      <c r="I316" s="119" t="s">
        <v>53</v>
      </c>
      <c r="J316" s="119" t="s">
        <v>544</v>
      </c>
      <c r="K316" s="122" t="s">
        <v>534</v>
      </c>
      <c r="L316" s="142" t="s">
        <v>398</v>
      </c>
    </row>
    <row r="317" spans="7:12" x14ac:dyDescent="0.2">
      <c r="G317" s="122" t="s">
        <v>175</v>
      </c>
      <c r="H317" s="119" t="s">
        <v>192</v>
      </c>
      <c r="I317" s="119" t="s">
        <v>24</v>
      </c>
      <c r="J317" s="119" t="s">
        <v>545</v>
      </c>
      <c r="K317" s="122" t="s">
        <v>534</v>
      </c>
      <c r="L317" s="142" t="s">
        <v>380</v>
      </c>
    </row>
    <row r="318" spans="7:12" x14ac:dyDescent="0.2">
      <c r="G318" s="122" t="s">
        <v>31</v>
      </c>
      <c r="H318" s="119" t="s">
        <v>341</v>
      </c>
      <c r="I318" s="119" t="s">
        <v>546</v>
      </c>
      <c r="J318" s="119" t="s">
        <v>547</v>
      </c>
      <c r="K318" s="122" t="s">
        <v>534</v>
      </c>
      <c r="L318" s="142" t="s">
        <v>360</v>
      </c>
    </row>
    <row r="319" spans="7:12" x14ac:dyDescent="0.2">
      <c r="G319" s="122" t="s">
        <v>38</v>
      </c>
      <c r="H319" s="119" t="s">
        <v>273</v>
      </c>
      <c r="I319" s="119" t="s">
        <v>39</v>
      </c>
      <c r="J319" s="119" t="s">
        <v>548</v>
      </c>
      <c r="K319" s="122" t="s">
        <v>549</v>
      </c>
      <c r="L319" s="142" t="s">
        <v>360</v>
      </c>
    </row>
    <row r="320" spans="7:12" x14ac:dyDescent="0.2">
      <c r="G320" s="122" t="s">
        <v>175</v>
      </c>
      <c r="H320" s="119" t="s">
        <v>230</v>
      </c>
      <c r="I320" s="119" t="s">
        <v>41</v>
      </c>
      <c r="J320" s="119" t="s">
        <v>550</v>
      </c>
      <c r="K320" s="122" t="s">
        <v>549</v>
      </c>
      <c r="L320" s="142" t="s">
        <v>380</v>
      </c>
    </row>
    <row r="321" spans="7:12" x14ac:dyDescent="0.2">
      <c r="G321" s="122" t="s">
        <v>31</v>
      </c>
      <c r="H321" s="119" t="s">
        <v>273</v>
      </c>
      <c r="I321" s="119" t="s">
        <v>196</v>
      </c>
      <c r="J321" s="119" t="s">
        <v>551</v>
      </c>
      <c r="K321" s="122" t="s">
        <v>549</v>
      </c>
      <c r="L321" s="142" t="s">
        <v>360</v>
      </c>
    </row>
    <row r="322" spans="7:12" x14ac:dyDescent="0.2">
      <c r="G322" s="122" t="s">
        <v>43</v>
      </c>
      <c r="H322" s="119" t="s">
        <v>230</v>
      </c>
      <c r="I322" s="119" t="s">
        <v>44</v>
      </c>
      <c r="J322" s="119" t="s">
        <v>552</v>
      </c>
      <c r="K322" s="122" t="s">
        <v>553</v>
      </c>
      <c r="L322" s="142" t="s">
        <v>27</v>
      </c>
    </row>
    <row r="323" spans="7:12" x14ac:dyDescent="0.2">
      <c r="G323" s="122" t="s">
        <v>31</v>
      </c>
      <c r="H323" s="119" t="s">
        <v>273</v>
      </c>
      <c r="I323" s="119" t="s">
        <v>196</v>
      </c>
      <c r="J323" s="119" t="s">
        <v>363</v>
      </c>
      <c r="K323" s="122" t="s">
        <v>553</v>
      </c>
      <c r="L323" s="142" t="s">
        <v>360</v>
      </c>
    </row>
    <row r="324" spans="7:12" x14ac:dyDescent="0.2">
      <c r="G324" s="231" t="s">
        <v>369</v>
      </c>
      <c r="H324" s="149" t="s">
        <v>554</v>
      </c>
      <c r="I324" s="149" t="s">
        <v>555</v>
      </c>
      <c r="J324" s="149" t="s">
        <v>371</v>
      </c>
      <c r="K324" s="231" t="s">
        <v>532</v>
      </c>
      <c r="L324" s="176"/>
    </row>
    <row r="325" spans="7:12" x14ac:dyDescent="0.2">
      <c r="G325" s="231" t="s">
        <v>369</v>
      </c>
      <c r="H325" s="149" t="s">
        <v>554</v>
      </c>
      <c r="I325" s="149" t="s">
        <v>70</v>
      </c>
      <c r="J325" s="149" t="s">
        <v>371</v>
      </c>
      <c r="K325" s="231">
        <v>45707</v>
      </c>
      <c r="L325" s="176"/>
    </row>
    <row r="326" spans="7:12" x14ac:dyDescent="0.2">
      <c r="G326" s="231" t="s">
        <v>369</v>
      </c>
      <c r="H326" s="149" t="s">
        <v>554</v>
      </c>
      <c r="I326" s="149" t="s">
        <v>377</v>
      </c>
      <c r="J326" s="149" t="s">
        <v>371</v>
      </c>
      <c r="K326" s="231">
        <v>45708</v>
      </c>
      <c r="L326" s="176"/>
    </row>
    <row r="327" spans="7:12" x14ac:dyDescent="0.2">
      <c r="G327" s="231" t="s">
        <v>369</v>
      </c>
      <c r="H327" s="149" t="s">
        <v>554</v>
      </c>
      <c r="I327" s="149" t="s">
        <v>24</v>
      </c>
      <c r="J327" s="149" t="s">
        <v>371</v>
      </c>
      <c r="K327" s="231">
        <v>45709</v>
      </c>
      <c r="L327" s="176"/>
    </row>
    <row r="328" spans="7:12" x14ac:dyDescent="0.2">
      <c r="G328" s="228" t="s">
        <v>556</v>
      </c>
      <c r="H328" s="228" t="s">
        <v>556</v>
      </c>
      <c r="I328" s="228" t="s">
        <v>556</v>
      </c>
      <c r="J328" s="228" t="s">
        <v>556</v>
      </c>
      <c r="K328" s="229" t="s">
        <v>556</v>
      </c>
      <c r="L328" s="230" t="s">
        <v>556</v>
      </c>
    </row>
    <row r="329" spans="7:12" x14ac:dyDescent="0.2">
      <c r="G329" s="119" t="s">
        <v>31</v>
      </c>
      <c r="H329" s="119" t="s">
        <v>286</v>
      </c>
      <c r="I329" s="119" t="s">
        <v>373</v>
      </c>
      <c r="J329" s="119" t="s">
        <v>557</v>
      </c>
      <c r="K329" s="122" t="s">
        <v>558</v>
      </c>
      <c r="L329" s="142">
        <v>4</v>
      </c>
    </row>
    <row r="330" spans="7:12" x14ac:dyDescent="0.2">
      <c r="G330" s="119" t="s">
        <v>43</v>
      </c>
      <c r="H330" s="119" t="s">
        <v>213</v>
      </c>
      <c r="I330" s="119" t="s">
        <v>410</v>
      </c>
      <c r="J330" s="119" t="s">
        <v>559</v>
      </c>
      <c r="K330" s="122" t="s">
        <v>558</v>
      </c>
      <c r="L330" s="142" t="s">
        <v>27</v>
      </c>
    </row>
    <row r="331" spans="7:12" x14ac:dyDescent="0.2">
      <c r="G331" s="119" t="s">
        <v>43</v>
      </c>
      <c r="H331" s="119" t="s">
        <v>213</v>
      </c>
      <c r="I331" s="119" t="s">
        <v>410</v>
      </c>
      <c r="J331" s="119" t="s">
        <v>560</v>
      </c>
      <c r="K331" s="122" t="s">
        <v>561</v>
      </c>
      <c r="L331" s="142" t="s">
        <v>27</v>
      </c>
    </row>
    <row r="332" spans="7:12" x14ac:dyDescent="0.2">
      <c r="G332" s="119" t="s">
        <v>31</v>
      </c>
      <c r="H332" s="119" t="s">
        <v>257</v>
      </c>
      <c r="I332" s="119" t="s">
        <v>196</v>
      </c>
      <c r="J332" s="119" t="s">
        <v>562</v>
      </c>
      <c r="K332" s="122" t="s">
        <v>558</v>
      </c>
      <c r="L332" s="142">
        <v>4</v>
      </c>
    </row>
    <row r="333" spans="7:12" x14ac:dyDescent="0.2">
      <c r="G333" s="119" t="s">
        <v>175</v>
      </c>
      <c r="H333" s="119" t="s">
        <v>230</v>
      </c>
      <c r="I333" s="119" t="s">
        <v>155</v>
      </c>
      <c r="J333" s="119" t="s">
        <v>563</v>
      </c>
      <c r="K333" s="122" t="s">
        <v>564</v>
      </c>
      <c r="L333" s="142">
        <v>3</v>
      </c>
    </row>
    <row r="334" spans="7:12" x14ac:dyDescent="0.2">
      <c r="G334" s="119" t="s">
        <v>565</v>
      </c>
      <c r="H334" s="119" t="s">
        <v>205</v>
      </c>
      <c r="I334" s="119" t="s">
        <v>24</v>
      </c>
      <c r="J334" s="119" t="s">
        <v>391</v>
      </c>
      <c r="K334" s="122" t="s">
        <v>564</v>
      </c>
      <c r="L334" s="142">
        <v>4</v>
      </c>
    </row>
    <row r="335" spans="7:12" x14ac:dyDescent="0.2">
      <c r="G335" s="119" t="s">
        <v>175</v>
      </c>
      <c r="H335" s="119" t="s">
        <v>192</v>
      </c>
      <c r="I335" s="119" t="s">
        <v>24</v>
      </c>
      <c r="J335" s="119" t="s">
        <v>566</v>
      </c>
      <c r="K335" s="122" t="s">
        <v>564</v>
      </c>
      <c r="L335" s="142">
        <v>4</v>
      </c>
    </row>
    <row r="336" spans="7:12" x14ac:dyDescent="0.2">
      <c r="G336" s="119" t="s">
        <v>31</v>
      </c>
      <c r="H336" s="119" t="s">
        <v>213</v>
      </c>
      <c r="I336" s="119" t="s">
        <v>373</v>
      </c>
      <c r="J336" s="119" t="s">
        <v>567</v>
      </c>
      <c r="K336" s="122" t="s">
        <v>568</v>
      </c>
      <c r="L336" s="142" t="s">
        <v>360</v>
      </c>
    </row>
    <row r="337" spans="7:12" x14ac:dyDescent="0.2">
      <c r="G337" s="119" t="s">
        <v>43</v>
      </c>
      <c r="H337" s="119" t="s">
        <v>213</v>
      </c>
      <c r="I337" s="119" t="s">
        <v>410</v>
      </c>
      <c r="J337" s="119" t="s">
        <v>569</v>
      </c>
      <c r="K337" s="122" t="s">
        <v>570</v>
      </c>
      <c r="L337" s="142" t="s">
        <v>27</v>
      </c>
    </row>
    <row r="338" spans="7:12" x14ac:dyDescent="0.2">
      <c r="G338" s="119" t="s">
        <v>38</v>
      </c>
      <c r="H338" s="119" t="s">
        <v>230</v>
      </c>
      <c r="I338" s="119" t="s">
        <v>36</v>
      </c>
      <c r="J338" s="119" t="s">
        <v>571</v>
      </c>
      <c r="K338" s="122" t="s">
        <v>570</v>
      </c>
      <c r="L338" s="142">
        <v>4</v>
      </c>
    </row>
    <row r="339" spans="7:12" x14ac:dyDescent="0.2">
      <c r="G339" s="119" t="s">
        <v>43</v>
      </c>
      <c r="H339" s="119" t="s">
        <v>192</v>
      </c>
      <c r="I339" s="119" t="s">
        <v>277</v>
      </c>
      <c r="J339" s="119" t="s">
        <v>200</v>
      </c>
      <c r="K339" s="122" t="s">
        <v>570</v>
      </c>
      <c r="L339" s="142" t="s">
        <v>27</v>
      </c>
    </row>
    <row r="340" spans="7:12" x14ac:dyDescent="0.2">
      <c r="G340" s="119" t="s">
        <v>38</v>
      </c>
      <c r="H340" s="119" t="s">
        <v>192</v>
      </c>
      <c r="I340" s="119" t="s">
        <v>39</v>
      </c>
      <c r="J340" s="119" t="s">
        <v>572</v>
      </c>
      <c r="K340" s="122" t="s">
        <v>570</v>
      </c>
      <c r="L340" s="142" t="s">
        <v>360</v>
      </c>
    </row>
    <row r="341" spans="7:12" x14ac:dyDescent="0.2">
      <c r="G341" s="119" t="s">
        <v>38</v>
      </c>
      <c r="H341" s="119" t="s">
        <v>383</v>
      </c>
      <c r="I341" s="119" t="s">
        <v>53</v>
      </c>
      <c r="J341" s="119" t="s">
        <v>573</v>
      </c>
      <c r="K341" s="122" t="s">
        <v>570</v>
      </c>
      <c r="L341" s="142">
        <v>4</v>
      </c>
    </row>
    <row r="342" spans="7:12" x14ac:dyDescent="0.2">
      <c r="G342" s="119" t="s">
        <v>43</v>
      </c>
      <c r="H342" s="119" t="s">
        <v>192</v>
      </c>
      <c r="I342" s="119" t="s">
        <v>277</v>
      </c>
      <c r="J342" s="119" t="s">
        <v>197</v>
      </c>
      <c r="K342" s="122" t="s">
        <v>574</v>
      </c>
      <c r="L342" s="142" t="s">
        <v>27</v>
      </c>
    </row>
    <row r="343" spans="7:12" x14ac:dyDescent="0.2">
      <c r="G343" s="149" t="s">
        <v>483</v>
      </c>
      <c r="H343" s="149" t="s">
        <v>554</v>
      </c>
      <c r="I343" s="149" t="s">
        <v>60</v>
      </c>
      <c r="J343" s="149" t="s">
        <v>371</v>
      </c>
      <c r="K343" s="231" t="s">
        <v>568</v>
      </c>
      <c r="L343" s="176"/>
    </row>
    <row r="344" spans="7:12" x14ac:dyDescent="0.2">
      <c r="G344" s="149" t="s">
        <v>369</v>
      </c>
      <c r="H344" s="149" t="s">
        <v>554</v>
      </c>
      <c r="I344" s="149" t="s">
        <v>66</v>
      </c>
      <c r="J344" s="149" t="s">
        <v>371</v>
      </c>
      <c r="K344" s="231" t="s">
        <v>568</v>
      </c>
      <c r="L344" s="176"/>
    </row>
    <row r="345" spans="7:12" x14ac:dyDescent="0.2">
      <c r="G345" s="149" t="s">
        <v>369</v>
      </c>
      <c r="H345" s="149" t="s">
        <v>554</v>
      </c>
      <c r="I345" s="149" t="s">
        <v>373</v>
      </c>
      <c r="J345" s="149" t="s">
        <v>371</v>
      </c>
      <c r="K345" s="231" t="s">
        <v>570</v>
      </c>
      <c r="L345" s="176"/>
    </row>
    <row r="346" spans="7:12" x14ac:dyDescent="0.2">
      <c r="G346" s="149" t="s">
        <v>483</v>
      </c>
      <c r="H346" s="149" t="s">
        <v>554</v>
      </c>
      <c r="I346" s="149" t="s">
        <v>63</v>
      </c>
      <c r="J346" s="149" t="s">
        <v>371</v>
      </c>
      <c r="K346" s="231" t="s">
        <v>570</v>
      </c>
      <c r="L346" s="176"/>
    </row>
    <row r="347" spans="7:12" x14ac:dyDescent="0.2">
      <c r="G347" s="228" t="s">
        <v>575</v>
      </c>
      <c r="H347" s="228" t="s">
        <v>575</v>
      </c>
      <c r="I347" s="228" t="s">
        <v>575</v>
      </c>
      <c r="J347" s="228" t="s">
        <v>575</v>
      </c>
      <c r="K347" s="229" t="s">
        <v>575</v>
      </c>
      <c r="L347" s="230" t="s">
        <v>575</v>
      </c>
    </row>
    <row r="348" spans="7:12" x14ac:dyDescent="0.2">
      <c r="G348" s="119" t="s">
        <v>43</v>
      </c>
      <c r="H348" s="119" t="s">
        <v>230</v>
      </c>
      <c r="I348" s="119" t="s">
        <v>68</v>
      </c>
      <c r="J348" s="119" t="s">
        <v>576</v>
      </c>
      <c r="K348" s="122">
        <v>45719</v>
      </c>
      <c r="L348" s="142">
        <v>2</v>
      </c>
    </row>
    <row r="349" spans="7:12" x14ac:dyDescent="0.2">
      <c r="G349" s="119" t="s">
        <v>565</v>
      </c>
      <c r="H349" s="119" t="s">
        <v>383</v>
      </c>
      <c r="I349" s="119" t="s">
        <v>24</v>
      </c>
      <c r="J349" s="119" t="s">
        <v>577</v>
      </c>
      <c r="K349" s="122">
        <v>45719</v>
      </c>
      <c r="L349" s="142">
        <v>3</v>
      </c>
    </row>
    <row r="350" spans="7:12" x14ac:dyDescent="0.2">
      <c r="G350" s="119" t="s">
        <v>38</v>
      </c>
      <c r="H350" s="119" t="s">
        <v>383</v>
      </c>
      <c r="I350" s="119" t="s">
        <v>63</v>
      </c>
      <c r="J350" s="119" t="s">
        <v>578</v>
      </c>
      <c r="K350" s="122">
        <v>45750</v>
      </c>
      <c r="L350" s="142">
        <v>4</v>
      </c>
    </row>
    <row r="351" spans="7:12" x14ac:dyDescent="0.2">
      <c r="G351" s="119" t="s">
        <v>31</v>
      </c>
      <c r="H351" s="119" t="s">
        <v>390</v>
      </c>
      <c r="I351" s="119" t="s">
        <v>434</v>
      </c>
      <c r="J351" s="119" t="s">
        <v>579</v>
      </c>
      <c r="K351" s="122">
        <v>45750</v>
      </c>
      <c r="L351" s="142" t="s">
        <v>580</v>
      </c>
    </row>
    <row r="352" spans="7:12" x14ac:dyDescent="0.2">
      <c r="G352" s="119" t="s">
        <v>38</v>
      </c>
      <c r="H352" s="119" t="s">
        <v>383</v>
      </c>
      <c r="I352" s="119" t="s">
        <v>53</v>
      </c>
      <c r="J352" s="119" t="s">
        <v>581</v>
      </c>
      <c r="K352" s="122">
        <v>45780</v>
      </c>
      <c r="L352" s="142" t="s">
        <v>582</v>
      </c>
    </row>
    <row r="353" spans="7:12" x14ac:dyDescent="0.2">
      <c r="G353" s="119" t="s">
        <v>38</v>
      </c>
      <c r="H353" s="119" t="s">
        <v>192</v>
      </c>
      <c r="I353" s="119" t="s">
        <v>53</v>
      </c>
      <c r="J353" s="119" t="s">
        <v>583</v>
      </c>
      <c r="K353" s="122">
        <v>45780</v>
      </c>
      <c r="L353" s="142" t="s">
        <v>582</v>
      </c>
    </row>
    <row r="354" spans="7:12" x14ac:dyDescent="0.2">
      <c r="G354" s="119" t="s">
        <v>31</v>
      </c>
      <c r="H354" s="119" t="s">
        <v>230</v>
      </c>
      <c r="I354" s="119" t="s">
        <v>434</v>
      </c>
      <c r="J354" s="119" t="s">
        <v>584</v>
      </c>
      <c r="K354" s="122">
        <v>45780</v>
      </c>
      <c r="L354" s="142">
        <v>4</v>
      </c>
    </row>
    <row r="355" spans="7:12" x14ac:dyDescent="0.2">
      <c r="G355" s="119" t="s">
        <v>31</v>
      </c>
      <c r="H355" s="119" t="s">
        <v>585</v>
      </c>
      <c r="I355" s="119" t="s">
        <v>196</v>
      </c>
      <c r="J355" s="119" t="s">
        <v>586</v>
      </c>
      <c r="K355" s="314">
        <v>45721</v>
      </c>
      <c r="L355" s="142">
        <v>3</v>
      </c>
    </row>
    <row r="356" spans="7:12" x14ac:dyDescent="0.2">
      <c r="G356" s="119" t="s">
        <v>175</v>
      </c>
      <c r="H356" s="119" t="s">
        <v>205</v>
      </c>
      <c r="I356" s="119" t="s">
        <v>56</v>
      </c>
      <c r="J356" s="119" t="s">
        <v>587</v>
      </c>
      <c r="K356" s="122">
        <v>45780</v>
      </c>
      <c r="L356" s="142">
        <v>3</v>
      </c>
    </row>
    <row r="357" spans="7:12" x14ac:dyDescent="0.2">
      <c r="G357" s="119" t="s">
        <v>38</v>
      </c>
      <c r="H357" s="119" t="s">
        <v>273</v>
      </c>
      <c r="I357" s="119" t="s">
        <v>39</v>
      </c>
      <c r="J357" s="119" t="s">
        <v>588</v>
      </c>
      <c r="K357" s="122">
        <v>45780</v>
      </c>
      <c r="L357" s="142" t="s">
        <v>360</v>
      </c>
    </row>
    <row r="358" spans="7:12" x14ac:dyDescent="0.2">
      <c r="G358" s="119" t="s">
        <v>38</v>
      </c>
      <c r="H358" s="119" t="s">
        <v>383</v>
      </c>
      <c r="I358" s="119" t="s">
        <v>53</v>
      </c>
      <c r="J358" s="119" t="s">
        <v>589</v>
      </c>
      <c r="K358" s="122">
        <v>45811</v>
      </c>
      <c r="L358" s="142" t="s">
        <v>582</v>
      </c>
    </row>
    <row r="359" spans="7:12" x14ac:dyDescent="0.2">
      <c r="G359" s="119" t="s">
        <v>565</v>
      </c>
      <c r="H359" s="119" t="s">
        <v>250</v>
      </c>
      <c r="I359" s="119" t="s">
        <v>24</v>
      </c>
      <c r="J359" s="119" t="s">
        <v>590</v>
      </c>
      <c r="K359" s="122">
        <v>45811</v>
      </c>
      <c r="L359" s="142">
        <v>4</v>
      </c>
    </row>
    <row r="360" spans="7:12" x14ac:dyDescent="0.2">
      <c r="G360" s="119" t="s">
        <v>565</v>
      </c>
      <c r="H360" s="119" t="s">
        <v>230</v>
      </c>
      <c r="I360" s="119" t="s">
        <v>155</v>
      </c>
      <c r="J360" s="119" t="s">
        <v>591</v>
      </c>
      <c r="K360" s="122">
        <v>45811</v>
      </c>
      <c r="L360" s="142">
        <v>3</v>
      </c>
    </row>
    <row r="361" spans="7:12" x14ac:dyDescent="0.2">
      <c r="G361" s="119" t="s">
        <v>43</v>
      </c>
      <c r="H361" s="119" t="s">
        <v>273</v>
      </c>
      <c r="I361" s="119" t="s">
        <v>49</v>
      </c>
      <c r="J361" s="119" t="s">
        <v>592</v>
      </c>
      <c r="K361" s="122">
        <v>45811</v>
      </c>
      <c r="L361" s="142">
        <v>4</v>
      </c>
    </row>
    <row r="362" spans="7:12" x14ac:dyDescent="0.2">
      <c r="G362" s="149" t="s">
        <v>369</v>
      </c>
      <c r="H362" s="149" t="s">
        <v>372</v>
      </c>
      <c r="I362" s="149" t="s">
        <v>157</v>
      </c>
      <c r="J362" s="149" t="s">
        <v>371</v>
      </c>
      <c r="K362" s="231">
        <v>45719</v>
      </c>
      <c r="L362" s="176"/>
    </row>
    <row r="363" spans="7:12" x14ac:dyDescent="0.2">
      <c r="G363" s="149" t="s">
        <v>593</v>
      </c>
      <c r="H363" s="149" t="s">
        <v>372</v>
      </c>
      <c r="I363" s="149" t="s">
        <v>594</v>
      </c>
      <c r="J363" s="149" t="s">
        <v>371</v>
      </c>
      <c r="K363" s="231">
        <v>45720</v>
      </c>
      <c r="L363" s="176"/>
    </row>
    <row r="364" spans="7:12" x14ac:dyDescent="0.2">
      <c r="G364" s="149" t="s">
        <v>369</v>
      </c>
      <c r="H364" s="149" t="s">
        <v>372</v>
      </c>
      <c r="I364" s="149" t="s">
        <v>162</v>
      </c>
      <c r="J364" s="149" t="s">
        <v>371</v>
      </c>
      <c r="K364" s="231">
        <v>45722</v>
      </c>
      <c r="L364" s="176"/>
    </row>
    <row r="365" spans="7:12" x14ac:dyDescent="0.2">
      <c r="G365" s="149" t="s">
        <v>483</v>
      </c>
      <c r="H365" s="149" t="s">
        <v>372</v>
      </c>
      <c r="I365" s="149" t="s">
        <v>155</v>
      </c>
      <c r="J365" s="149" t="s">
        <v>371</v>
      </c>
      <c r="K365" s="231">
        <v>45723</v>
      </c>
      <c r="L365" s="176"/>
    </row>
    <row r="366" spans="7:12" x14ac:dyDescent="0.2">
      <c r="G366" s="228" t="s">
        <v>595</v>
      </c>
      <c r="H366" s="228" t="s">
        <v>595</v>
      </c>
      <c r="I366" s="228" t="s">
        <v>595</v>
      </c>
      <c r="J366" s="228" t="s">
        <v>595</v>
      </c>
      <c r="K366" s="229" t="s">
        <v>595</v>
      </c>
      <c r="L366" s="230" t="s">
        <v>595</v>
      </c>
    </row>
    <row r="367" spans="7:12" x14ac:dyDescent="0.2">
      <c r="G367" s="119" t="s">
        <v>38</v>
      </c>
      <c r="H367" s="119" t="s">
        <v>192</v>
      </c>
      <c r="I367" s="119" t="s">
        <v>63</v>
      </c>
      <c r="J367" s="119" t="s">
        <v>596</v>
      </c>
      <c r="K367" s="122">
        <v>45933</v>
      </c>
      <c r="L367" s="142">
        <v>4</v>
      </c>
    </row>
    <row r="368" spans="7:12" x14ac:dyDescent="0.2">
      <c r="G368" s="119" t="s">
        <v>31</v>
      </c>
      <c r="H368" s="119" t="s">
        <v>205</v>
      </c>
      <c r="I368" s="119" t="s">
        <v>60</v>
      </c>
      <c r="J368" s="119" t="s">
        <v>597</v>
      </c>
      <c r="K368" s="122">
        <v>45964</v>
      </c>
      <c r="L368" s="142">
        <v>4</v>
      </c>
    </row>
    <row r="369" spans="7:12" x14ac:dyDescent="0.2">
      <c r="G369" s="119" t="s">
        <v>38</v>
      </c>
      <c r="H369" s="119" t="s">
        <v>192</v>
      </c>
      <c r="I369" s="119" t="s">
        <v>39</v>
      </c>
      <c r="J369" s="119" t="s">
        <v>598</v>
      </c>
      <c r="K369" s="122">
        <v>45964</v>
      </c>
      <c r="L369" s="142" t="s">
        <v>360</v>
      </c>
    </row>
    <row r="370" spans="7:12" x14ac:dyDescent="0.2">
      <c r="G370" s="119" t="s">
        <v>31</v>
      </c>
      <c r="H370" s="119" t="s">
        <v>205</v>
      </c>
      <c r="I370" s="119" t="s">
        <v>434</v>
      </c>
      <c r="J370" s="119" t="s">
        <v>599</v>
      </c>
      <c r="K370" s="122">
        <v>45964</v>
      </c>
      <c r="L370" s="142">
        <v>4</v>
      </c>
    </row>
    <row r="371" spans="7:12" x14ac:dyDescent="0.2">
      <c r="G371" s="119" t="s">
        <v>31</v>
      </c>
      <c r="H371" s="119" t="s">
        <v>192</v>
      </c>
      <c r="I371" s="119" t="s">
        <v>373</v>
      </c>
      <c r="J371" s="119" t="s">
        <v>436</v>
      </c>
      <c r="K371" s="122">
        <v>45994</v>
      </c>
      <c r="L371" s="142">
        <v>4</v>
      </c>
    </row>
    <row r="372" spans="7:12" x14ac:dyDescent="0.2">
      <c r="G372" s="119" t="s">
        <v>31</v>
      </c>
      <c r="H372" s="119" t="s">
        <v>205</v>
      </c>
      <c r="I372" s="119" t="s">
        <v>377</v>
      </c>
      <c r="J372" s="119" t="s">
        <v>424</v>
      </c>
      <c r="K372" s="122">
        <v>45994</v>
      </c>
      <c r="L372" s="142">
        <v>4</v>
      </c>
    </row>
    <row r="373" spans="7:12" x14ac:dyDescent="0.2">
      <c r="G373" s="119" t="s">
        <v>31</v>
      </c>
      <c r="H373" s="119" t="s">
        <v>205</v>
      </c>
      <c r="I373" s="119" t="s">
        <v>434</v>
      </c>
      <c r="J373" s="119" t="s">
        <v>424</v>
      </c>
      <c r="K373" s="122">
        <v>45994</v>
      </c>
      <c r="L373" s="142">
        <v>4</v>
      </c>
    </row>
    <row r="374" spans="7:12" x14ac:dyDescent="0.2">
      <c r="G374" s="119" t="s">
        <v>38</v>
      </c>
      <c r="H374" s="119" t="s">
        <v>192</v>
      </c>
      <c r="I374" s="119" t="s">
        <v>63</v>
      </c>
      <c r="J374" s="119" t="s">
        <v>583</v>
      </c>
      <c r="K374" s="122">
        <v>45994</v>
      </c>
      <c r="L374" s="142">
        <v>4</v>
      </c>
    </row>
    <row r="375" spans="7:12" x14ac:dyDescent="0.2">
      <c r="G375" s="119" t="s">
        <v>38</v>
      </c>
      <c r="H375" s="119" t="s">
        <v>230</v>
      </c>
      <c r="I375" s="119" t="s">
        <v>36</v>
      </c>
      <c r="J375" s="119" t="s">
        <v>600</v>
      </c>
      <c r="K375" s="122">
        <v>45994</v>
      </c>
      <c r="L375" s="142">
        <v>4</v>
      </c>
    </row>
    <row r="376" spans="7:12" x14ac:dyDescent="0.2">
      <c r="G376" s="119" t="s">
        <v>43</v>
      </c>
      <c r="H376" s="119" t="s">
        <v>601</v>
      </c>
      <c r="I376" s="119" t="s">
        <v>49</v>
      </c>
      <c r="J376" s="119" t="s">
        <v>602</v>
      </c>
      <c r="K376" s="122">
        <v>45994</v>
      </c>
      <c r="L376" s="142" t="s">
        <v>27</v>
      </c>
    </row>
    <row r="377" spans="7:12" x14ac:dyDescent="0.2">
      <c r="G377" s="119" t="s">
        <v>38</v>
      </c>
      <c r="H377" s="119" t="s">
        <v>192</v>
      </c>
      <c r="I377" s="119" t="s">
        <v>384</v>
      </c>
      <c r="J377" s="119" t="s">
        <v>603</v>
      </c>
      <c r="K377" s="122" t="s">
        <v>604</v>
      </c>
      <c r="L377" s="142">
        <v>4</v>
      </c>
    </row>
    <row r="378" spans="7:12" x14ac:dyDescent="0.2">
      <c r="G378" s="119" t="s">
        <v>43</v>
      </c>
      <c r="H378" s="119" t="s">
        <v>192</v>
      </c>
      <c r="I378" s="119" t="s">
        <v>277</v>
      </c>
      <c r="J378" s="119" t="s">
        <v>605</v>
      </c>
      <c r="K378" s="122" t="s">
        <v>604</v>
      </c>
      <c r="L378" s="142" t="s">
        <v>27</v>
      </c>
    </row>
    <row r="379" spans="7:12" x14ac:dyDescent="0.2">
      <c r="G379" s="119" t="s">
        <v>31</v>
      </c>
      <c r="H379" s="119" t="s">
        <v>257</v>
      </c>
      <c r="I379" s="119" t="s">
        <v>196</v>
      </c>
      <c r="J379" s="119" t="s">
        <v>606</v>
      </c>
      <c r="K379" s="122" t="s">
        <v>604</v>
      </c>
      <c r="L379" s="142">
        <v>4</v>
      </c>
    </row>
    <row r="380" spans="7:12" x14ac:dyDescent="0.2">
      <c r="G380" s="119" t="s">
        <v>31</v>
      </c>
      <c r="H380" s="119" t="s">
        <v>341</v>
      </c>
      <c r="I380" s="119" t="s">
        <v>196</v>
      </c>
      <c r="J380" s="119" t="s">
        <v>607</v>
      </c>
      <c r="K380" s="122" t="s">
        <v>604</v>
      </c>
      <c r="L380" s="142">
        <v>4</v>
      </c>
    </row>
    <row r="381" spans="7:12" ht="16.25" customHeight="1" x14ac:dyDescent="0.2">
      <c r="G381" s="149" t="s">
        <v>483</v>
      </c>
      <c r="H381" s="149" t="s">
        <v>554</v>
      </c>
      <c r="I381" s="149" t="s">
        <v>53</v>
      </c>
      <c r="J381" s="149" t="s">
        <v>371</v>
      </c>
      <c r="K381" s="231">
        <v>45726</v>
      </c>
      <c r="L381" s="176"/>
    </row>
    <row r="382" spans="7:12" ht="16.25" customHeight="1" x14ac:dyDescent="0.2">
      <c r="G382" s="149" t="s">
        <v>369</v>
      </c>
      <c r="H382" s="149" t="s">
        <v>554</v>
      </c>
      <c r="I382" s="149" t="s">
        <v>157</v>
      </c>
      <c r="J382" s="149" t="s">
        <v>371</v>
      </c>
      <c r="K382" s="231">
        <v>45726</v>
      </c>
      <c r="L382" s="176"/>
    </row>
    <row r="383" spans="7:12" ht="16.25" customHeight="1" x14ac:dyDescent="0.2">
      <c r="G383" s="149" t="s">
        <v>369</v>
      </c>
      <c r="H383" s="149" t="s">
        <v>370</v>
      </c>
      <c r="I383" s="149" t="s">
        <v>410</v>
      </c>
      <c r="J383" s="149" t="s">
        <v>371</v>
      </c>
      <c r="K383" s="231">
        <v>45727</v>
      </c>
      <c r="L383" s="176"/>
    </row>
    <row r="384" spans="7:12" ht="16.25" customHeight="1" x14ac:dyDescent="0.2">
      <c r="G384" s="149" t="s">
        <v>369</v>
      </c>
      <c r="H384" s="149" t="s">
        <v>554</v>
      </c>
      <c r="I384" s="149" t="s">
        <v>36</v>
      </c>
      <c r="J384" s="149" t="s">
        <v>371</v>
      </c>
      <c r="K384" s="231">
        <v>45729</v>
      </c>
      <c r="L384" s="176"/>
    </row>
    <row r="385" spans="7:12" ht="16.25" customHeight="1" x14ac:dyDescent="0.2">
      <c r="G385" s="149" t="s">
        <v>369</v>
      </c>
      <c r="H385" s="149" t="s">
        <v>554</v>
      </c>
      <c r="I385" s="149" t="s">
        <v>608</v>
      </c>
      <c r="J385" s="149" t="s">
        <v>371</v>
      </c>
      <c r="K385" s="231">
        <v>45729</v>
      </c>
      <c r="L385" s="176"/>
    </row>
    <row r="386" spans="7:12" ht="16.25" customHeight="1" x14ac:dyDescent="0.2">
      <c r="G386" s="149" t="s">
        <v>369</v>
      </c>
      <c r="H386" s="149" t="s">
        <v>554</v>
      </c>
      <c r="I386" s="149" t="s">
        <v>162</v>
      </c>
      <c r="J386" s="149" t="s">
        <v>371</v>
      </c>
      <c r="K386" s="231">
        <v>45729</v>
      </c>
      <c r="L386" s="176"/>
    </row>
    <row r="387" spans="7:12" ht="16.25" customHeight="1" x14ac:dyDescent="0.2">
      <c r="G387" s="149" t="s">
        <v>369</v>
      </c>
      <c r="H387" s="149" t="s">
        <v>370</v>
      </c>
      <c r="I387" s="149" t="s">
        <v>609</v>
      </c>
      <c r="J387" s="149" t="s">
        <v>371</v>
      </c>
      <c r="K387" s="231">
        <v>45730</v>
      </c>
      <c r="L387" s="176"/>
    </row>
    <row r="388" spans="7:12" ht="16.25" customHeight="1" x14ac:dyDescent="0.2">
      <c r="G388" s="149" t="s">
        <v>369</v>
      </c>
      <c r="H388" s="149" t="s">
        <v>554</v>
      </c>
      <c r="I388" s="149" t="s">
        <v>594</v>
      </c>
      <c r="J388" s="149" t="s">
        <v>371</v>
      </c>
      <c r="K388" s="231">
        <v>45730</v>
      </c>
      <c r="L388" s="176"/>
    </row>
    <row r="389" spans="7:12" ht="16.25" customHeight="1" x14ac:dyDescent="0.2">
      <c r="G389" s="149" t="s">
        <v>369</v>
      </c>
      <c r="H389" s="149" t="s">
        <v>370</v>
      </c>
      <c r="I389" s="149" t="s">
        <v>68</v>
      </c>
      <c r="J389" s="149" t="s">
        <v>371</v>
      </c>
      <c r="K389" s="231">
        <v>45730</v>
      </c>
      <c r="L389" s="176"/>
    </row>
    <row r="390" spans="7:12" x14ac:dyDescent="0.2">
      <c r="G390" s="228" t="s">
        <v>610</v>
      </c>
      <c r="H390" s="228" t="s">
        <v>610</v>
      </c>
      <c r="I390" s="228" t="s">
        <v>610</v>
      </c>
      <c r="J390" s="228" t="s">
        <v>610</v>
      </c>
      <c r="K390" s="229" t="s">
        <v>610</v>
      </c>
      <c r="L390" s="230" t="s">
        <v>610</v>
      </c>
    </row>
    <row r="391" spans="7:12" ht="16.25" customHeight="1" x14ac:dyDescent="0.2">
      <c r="G391" s="119" t="s">
        <v>175</v>
      </c>
      <c r="H391" s="119" t="s">
        <v>230</v>
      </c>
      <c r="I391" s="119" t="s">
        <v>41</v>
      </c>
      <c r="J391" s="119" t="s">
        <v>611</v>
      </c>
      <c r="K391" s="122" t="s">
        <v>612</v>
      </c>
      <c r="L391" s="142" t="s">
        <v>380</v>
      </c>
    </row>
    <row r="392" spans="7:12" ht="16.25" customHeight="1" x14ac:dyDescent="0.2">
      <c r="G392" s="119" t="s">
        <v>43</v>
      </c>
      <c r="H392" s="119" t="s">
        <v>230</v>
      </c>
      <c r="I392" s="119" t="s">
        <v>410</v>
      </c>
      <c r="J392" s="119" t="s">
        <v>515</v>
      </c>
      <c r="K392" s="122" t="s">
        <v>27</v>
      </c>
      <c r="L392" s="142"/>
    </row>
    <row r="393" spans="7:12" ht="16.25" customHeight="1" x14ac:dyDescent="0.2">
      <c r="G393" s="119" t="s">
        <v>38</v>
      </c>
      <c r="H393" s="119" t="s">
        <v>192</v>
      </c>
      <c r="I393" s="119" t="s">
        <v>53</v>
      </c>
      <c r="J393" s="119" t="s">
        <v>613</v>
      </c>
      <c r="K393" s="122" t="s">
        <v>614</v>
      </c>
      <c r="L393" s="142" t="s">
        <v>380</v>
      </c>
    </row>
    <row r="394" spans="7:12" ht="16.25" customHeight="1" x14ac:dyDescent="0.2">
      <c r="G394" s="119" t="s">
        <v>31</v>
      </c>
      <c r="H394" s="119" t="s">
        <v>230</v>
      </c>
      <c r="I394" s="119" t="s">
        <v>55</v>
      </c>
      <c r="J394" s="119" t="s">
        <v>615</v>
      </c>
      <c r="K394" s="122" t="s">
        <v>616</v>
      </c>
      <c r="L394" s="142" t="s">
        <v>380</v>
      </c>
    </row>
    <row r="395" spans="7:12" ht="16.25" customHeight="1" x14ac:dyDescent="0.2">
      <c r="G395" s="119" t="s">
        <v>175</v>
      </c>
      <c r="H395" s="119" t="s">
        <v>213</v>
      </c>
      <c r="I395" s="119" t="s">
        <v>24</v>
      </c>
      <c r="J395" s="119" t="s">
        <v>617</v>
      </c>
      <c r="K395" s="122" t="s">
        <v>616</v>
      </c>
      <c r="L395" s="142" t="s">
        <v>398</v>
      </c>
    </row>
    <row r="396" spans="7:12" ht="16.25" customHeight="1" x14ac:dyDescent="0.2">
      <c r="G396" s="119" t="s">
        <v>38</v>
      </c>
      <c r="H396" s="119" t="s">
        <v>205</v>
      </c>
      <c r="I396" s="119" t="s">
        <v>36</v>
      </c>
      <c r="J396" s="119" t="s">
        <v>618</v>
      </c>
      <c r="K396" s="122" t="s">
        <v>619</v>
      </c>
      <c r="L396" s="142" t="s">
        <v>400</v>
      </c>
    </row>
    <row r="397" spans="7:12" ht="16.25" customHeight="1" x14ac:dyDescent="0.2">
      <c r="G397" s="119" t="s">
        <v>31</v>
      </c>
      <c r="H397" s="119" t="s">
        <v>286</v>
      </c>
      <c r="I397" s="119" t="s">
        <v>55</v>
      </c>
      <c r="J397" s="119" t="s">
        <v>620</v>
      </c>
      <c r="K397" s="122" t="s">
        <v>619</v>
      </c>
      <c r="L397" s="142" t="s">
        <v>380</v>
      </c>
    </row>
    <row r="398" spans="7:12" ht="16.25" customHeight="1" x14ac:dyDescent="0.2">
      <c r="G398" s="119" t="s">
        <v>31</v>
      </c>
      <c r="H398" s="119" t="s">
        <v>390</v>
      </c>
      <c r="I398" s="119" t="s">
        <v>373</v>
      </c>
      <c r="J398" s="119" t="s">
        <v>621</v>
      </c>
      <c r="K398" s="122" t="s">
        <v>619</v>
      </c>
      <c r="L398" s="142" t="s">
        <v>380</v>
      </c>
    </row>
    <row r="399" spans="7:12" x14ac:dyDescent="0.2">
      <c r="G399" s="149" t="s">
        <v>369</v>
      </c>
      <c r="H399" s="149" t="s">
        <v>554</v>
      </c>
      <c r="I399" s="149" t="s">
        <v>157</v>
      </c>
      <c r="J399" s="149" t="s">
        <v>371</v>
      </c>
      <c r="K399" s="231" t="s">
        <v>612</v>
      </c>
      <c r="L399" s="176"/>
    </row>
    <row r="400" spans="7:12" x14ac:dyDescent="0.2">
      <c r="G400" s="149" t="s">
        <v>483</v>
      </c>
      <c r="H400" s="149" t="s">
        <v>554</v>
      </c>
      <c r="I400" s="149" t="s">
        <v>373</v>
      </c>
      <c r="J400" s="149" t="s">
        <v>371</v>
      </c>
      <c r="K400" s="231">
        <v>45734</v>
      </c>
      <c r="L400" s="176"/>
    </row>
    <row r="401" spans="7:12" x14ac:dyDescent="0.2">
      <c r="G401" s="149" t="s">
        <v>369</v>
      </c>
      <c r="H401" s="149" t="s">
        <v>554</v>
      </c>
      <c r="I401" s="149" t="s">
        <v>24</v>
      </c>
      <c r="J401" s="149" t="s">
        <v>371</v>
      </c>
      <c r="K401" s="231">
        <v>45735</v>
      </c>
      <c r="L401" s="176"/>
    </row>
    <row r="402" spans="7:12" x14ac:dyDescent="0.2">
      <c r="G402" s="149" t="s">
        <v>369</v>
      </c>
      <c r="H402" s="149" t="s">
        <v>554</v>
      </c>
      <c r="I402" s="149" t="s">
        <v>196</v>
      </c>
      <c r="J402" s="149" t="s">
        <v>371</v>
      </c>
      <c r="K402" s="231">
        <v>45736</v>
      </c>
      <c r="L402" s="176"/>
    </row>
    <row r="403" spans="7:12" x14ac:dyDescent="0.2">
      <c r="G403" s="149" t="s">
        <v>369</v>
      </c>
      <c r="H403" s="149" t="s">
        <v>370</v>
      </c>
      <c r="I403" s="149" t="s">
        <v>608</v>
      </c>
      <c r="J403" s="149" t="s">
        <v>371</v>
      </c>
      <c r="K403" s="231">
        <v>45736</v>
      </c>
      <c r="L403" s="176"/>
    </row>
    <row r="404" spans="7:12" x14ac:dyDescent="0.2">
      <c r="G404" s="149" t="s">
        <v>369</v>
      </c>
      <c r="H404" s="149" t="s">
        <v>370</v>
      </c>
      <c r="I404" s="149" t="s">
        <v>162</v>
      </c>
      <c r="J404" s="149" t="s">
        <v>371</v>
      </c>
      <c r="K404" s="231">
        <v>45736</v>
      </c>
      <c r="L404" s="176"/>
    </row>
    <row r="405" spans="7:12" x14ac:dyDescent="0.2">
      <c r="G405" s="149" t="s">
        <v>483</v>
      </c>
      <c r="H405" s="149" t="s">
        <v>554</v>
      </c>
      <c r="I405" s="149" t="s">
        <v>594</v>
      </c>
      <c r="J405" s="149" t="s">
        <v>371</v>
      </c>
      <c r="K405" s="231">
        <v>45737</v>
      </c>
      <c r="L405" s="176"/>
    </row>
    <row r="406" spans="7:12" x14ac:dyDescent="0.2">
      <c r="G406" s="228" t="s">
        <v>622</v>
      </c>
      <c r="H406" s="228" t="s">
        <v>622</v>
      </c>
      <c r="I406" s="228" t="s">
        <v>622</v>
      </c>
      <c r="J406" s="228" t="s">
        <v>622</v>
      </c>
      <c r="K406" s="229" t="s">
        <v>622</v>
      </c>
      <c r="L406" s="230" t="s">
        <v>622</v>
      </c>
    </row>
    <row r="407" spans="7:12" x14ac:dyDescent="0.2">
      <c r="G407" s="119" t="s">
        <v>31</v>
      </c>
      <c r="H407" s="119" t="s">
        <v>230</v>
      </c>
      <c r="I407" s="119" t="s">
        <v>60</v>
      </c>
      <c r="J407" s="119" t="s">
        <v>623</v>
      </c>
      <c r="K407" s="122" t="s">
        <v>624</v>
      </c>
      <c r="L407" s="142" t="s">
        <v>380</v>
      </c>
    </row>
    <row r="408" spans="7:12" x14ac:dyDescent="0.2">
      <c r="G408" s="119" t="s">
        <v>31</v>
      </c>
      <c r="H408" s="119" t="s">
        <v>213</v>
      </c>
      <c r="I408" s="119" t="s">
        <v>162</v>
      </c>
      <c r="J408" s="119" t="s">
        <v>625</v>
      </c>
      <c r="K408" s="122" t="s">
        <v>624</v>
      </c>
      <c r="L408" s="142" t="s">
        <v>380</v>
      </c>
    </row>
    <row r="409" spans="7:12" x14ac:dyDescent="0.2">
      <c r="G409" s="119" t="s">
        <v>38</v>
      </c>
      <c r="H409" s="119" t="s">
        <v>230</v>
      </c>
      <c r="I409" s="119" t="s">
        <v>157</v>
      </c>
      <c r="J409" s="119" t="s">
        <v>626</v>
      </c>
      <c r="K409" s="122" t="s">
        <v>627</v>
      </c>
      <c r="L409" s="142" t="s">
        <v>398</v>
      </c>
    </row>
    <row r="410" spans="7:12" x14ac:dyDescent="0.2">
      <c r="G410" s="119" t="s">
        <v>31</v>
      </c>
      <c r="H410" s="119" t="s">
        <v>202</v>
      </c>
      <c r="I410" s="119" t="s">
        <v>373</v>
      </c>
      <c r="J410" s="119" t="s">
        <v>628</v>
      </c>
      <c r="K410" s="122" t="s">
        <v>627</v>
      </c>
      <c r="L410" s="142" t="s">
        <v>398</v>
      </c>
    </row>
    <row r="411" spans="7:12" x14ac:dyDescent="0.2">
      <c r="G411" s="119" t="s">
        <v>175</v>
      </c>
      <c r="H411" s="119" t="s">
        <v>250</v>
      </c>
      <c r="I411" s="119" t="s">
        <v>56</v>
      </c>
      <c r="J411" s="119" t="s">
        <v>629</v>
      </c>
      <c r="K411" s="122" t="s">
        <v>627</v>
      </c>
      <c r="L411" s="142" t="s">
        <v>380</v>
      </c>
    </row>
    <row r="412" spans="7:12" x14ac:dyDescent="0.2">
      <c r="G412" s="149" t="s">
        <v>369</v>
      </c>
      <c r="H412" s="149" t="s">
        <v>370</v>
      </c>
      <c r="I412" s="149" t="s">
        <v>56</v>
      </c>
      <c r="J412" s="149" t="s">
        <v>371</v>
      </c>
      <c r="K412" s="231">
        <v>45741</v>
      </c>
      <c r="L412" s="176"/>
    </row>
    <row r="413" spans="7:12" x14ac:dyDescent="0.2">
      <c r="G413" s="149" t="s">
        <v>369</v>
      </c>
      <c r="H413" s="149" t="s">
        <v>370</v>
      </c>
      <c r="I413" s="149" t="s">
        <v>60</v>
      </c>
      <c r="J413" s="149" t="s">
        <v>371</v>
      </c>
      <c r="K413" s="231">
        <v>45741</v>
      </c>
      <c r="L413" s="176"/>
    </row>
    <row r="414" spans="7:12" x14ac:dyDescent="0.2">
      <c r="G414" s="185" t="s">
        <v>369</v>
      </c>
      <c r="H414" s="185" t="s">
        <v>554</v>
      </c>
      <c r="I414" s="185" t="s">
        <v>53</v>
      </c>
      <c r="J414" s="185" t="s">
        <v>371</v>
      </c>
      <c r="K414" s="218">
        <v>45741</v>
      </c>
      <c r="L414" s="187"/>
    </row>
    <row r="415" spans="7:12" x14ac:dyDescent="0.2">
      <c r="G415" s="286" t="s">
        <v>630</v>
      </c>
      <c r="H415" s="286" t="s">
        <v>630</v>
      </c>
      <c r="I415" s="286" t="s">
        <v>630</v>
      </c>
      <c r="J415" s="286" t="s">
        <v>630</v>
      </c>
      <c r="K415" s="332" t="s">
        <v>630</v>
      </c>
      <c r="L415" s="286" t="s">
        <v>630</v>
      </c>
    </row>
    <row r="416" spans="7:12" x14ac:dyDescent="0.2">
      <c r="G416" s="119" t="s">
        <v>43</v>
      </c>
      <c r="H416" s="119" t="s">
        <v>192</v>
      </c>
      <c r="I416" s="119" t="s">
        <v>277</v>
      </c>
      <c r="J416" s="119" t="s">
        <v>631</v>
      </c>
      <c r="K416" s="122">
        <v>45692</v>
      </c>
      <c r="L416" s="142" t="s">
        <v>27</v>
      </c>
    </row>
    <row r="417" spans="7:12" x14ac:dyDescent="0.2">
      <c r="G417" s="55" t="s">
        <v>38</v>
      </c>
      <c r="H417" s="55" t="s">
        <v>230</v>
      </c>
      <c r="I417" s="55" t="s">
        <v>63</v>
      </c>
      <c r="J417" s="55" t="s">
        <v>632</v>
      </c>
      <c r="K417" s="56">
        <v>45751</v>
      </c>
      <c r="L417" s="140" t="s">
        <v>380</v>
      </c>
    </row>
    <row r="418" spans="7:12" x14ac:dyDescent="0.2">
      <c r="G418" s="287" t="s">
        <v>369</v>
      </c>
      <c r="H418" s="287" t="s">
        <v>554</v>
      </c>
      <c r="I418" s="287" t="s">
        <v>49</v>
      </c>
      <c r="J418" s="303" t="s">
        <v>371</v>
      </c>
      <c r="K418" s="305">
        <v>45747</v>
      </c>
      <c r="L418" s="304"/>
    </row>
    <row r="419" spans="7:12" x14ac:dyDescent="0.2">
      <c r="G419" s="149" t="s">
        <v>369</v>
      </c>
      <c r="H419" s="149" t="s">
        <v>554</v>
      </c>
      <c r="I419" s="149" t="s">
        <v>157</v>
      </c>
      <c r="J419" s="150" t="s">
        <v>371</v>
      </c>
      <c r="K419" s="305">
        <v>45747</v>
      </c>
      <c r="L419" s="151"/>
    </row>
    <row r="420" spans="7:12" x14ac:dyDescent="0.2">
      <c r="G420" s="149" t="s">
        <v>369</v>
      </c>
      <c r="H420" s="149" t="s">
        <v>554</v>
      </c>
      <c r="I420" s="149" t="s">
        <v>39</v>
      </c>
      <c r="J420" s="149" t="s">
        <v>371</v>
      </c>
      <c r="K420" s="231">
        <v>45748</v>
      </c>
      <c r="L420" s="176"/>
    </row>
    <row r="421" spans="7:12" x14ac:dyDescent="0.2">
      <c r="G421" s="149" t="s">
        <v>369</v>
      </c>
      <c r="H421" s="149" t="s">
        <v>554</v>
      </c>
      <c r="I421" s="149" t="s">
        <v>410</v>
      </c>
      <c r="J421" s="149" t="s">
        <v>371</v>
      </c>
      <c r="K421" s="231">
        <v>45748</v>
      </c>
      <c r="L421" s="176"/>
    </row>
    <row r="422" spans="7:12" x14ac:dyDescent="0.2">
      <c r="G422" s="149" t="s">
        <v>369</v>
      </c>
      <c r="H422" s="149" t="s">
        <v>554</v>
      </c>
      <c r="I422" s="149" t="s">
        <v>68</v>
      </c>
      <c r="J422" s="149" t="s">
        <v>371</v>
      </c>
      <c r="K422" s="231">
        <v>45748</v>
      </c>
      <c r="L422" s="176"/>
    </row>
    <row r="423" spans="7:12" ht="14" customHeight="1" x14ac:dyDescent="0.2">
      <c r="G423" s="149" t="s">
        <v>369</v>
      </c>
      <c r="H423" s="149" t="s">
        <v>554</v>
      </c>
      <c r="I423" s="149" t="s">
        <v>608</v>
      </c>
      <c r="J423" s="149" t="s">
        <v>371</v>
      </c>
      <c r="K423" s="231">
        <v>45750</v>
      </c>
      <c r="L423" s="176"/>
    </row>
    <row r="424" spans="7:12" ht="14" customHeight="1" x14ac:dyDescent="0.2">
      <c r="G424" s="149" t="s">
        <v>369</v>
      </c>
      <c r="H424" s="149" t="s">
        <v>370</v>
      </c>
      <c r="I424" s="149" t="s">
        <v>594</v>
      </c>
      <c r="J424" s="149" t="s">
        <v>371</v>
      </c>
      <c r="K424" s="231">
        <v>45751</v>
      </c>
      <c r="L424" s="176"/>
    </row>
    <row r="425" spans="7:12" ht="14" customHeight="1" x14ac:dyDescent="0.2">
      <c r="G425" s="149" t="s">
        <v>369</v>
      </c>
      <c r="H425" s="149" t="s">
        <v>372</v>
      </c>
      <c r="I425" s="149" t="s">
        <v>167</v>
      </c>
      <c r="J425" s="149" t="s">
        <v>371</v>
      </c>
      <c r="K425" s="231">
        <v>45751</v>
      </c>
      <c r="L425" s="176"/>
    </row>
    <row r="426" spans="7:12" ht="14" customHeight="1" x14ac:dyDescent="0.2">
      <c r="G426" s="149" t="s">
        <v>369</v>
      </c>
      <c r="H426" s="149" t="s">
        <v>554</v>
      </c>
      <c r="I426" s="149" t="s">
        <v>162</v>
      </c>
      <c r="J426" s="149" t="s">
        <v>371</v>
      </c>
      <c r="K426" s="231">
        <v>45751</v>
      </c>
      <c r="L426" s="176"/>
    </row>
    <row r="427" spans="7:12" ht="16.25" customHeight="1" x14ac:dyDescent="0.2">
      <c r="G427" s="286" t="s">
        <v>633</v>
      </c>
      <c r="H427" s="286" t="s">
        <v>633</v>
      </c>
      <c r="I427" s="286" t="s">
        <v>633</v>
      </c>
      <c r="J427" s="286" t="s">
        <v>633</v>
      </c>
      <c r="K427" s="333" t="s">
        <v>633</v>
      </c>
      <c r="L427" s="286" t="s">
        <v>633</v>
      </c>
    </row>
    <row r="428" spans="7:12" ht="16.25" customHeight="1" x14ac:dyDescent="0.2">
      <c r="G428" s="55" t="s">
        <v>31</v>
      </c>
      <c r="H428" s="55" t="s">
        <v>205</v>
      </c>
      <c r="I428" s="55" t="s">
        <v>55</v>
      </c>
      <c r="J428" s="55" t="s">
        <v>634</v>
      </c>
      <c r="K428" s="56">
        <v>45842</v>
      </c>
      <c r="L428" s="140" t="s">
        <v>380</v>
      </c>
    </row>
    <row r="429" spans="7:12" ht="16.25" customHeight="1" x14ac:dyDescent="0.2">
      <c r="G429" s="55" t="s">
        <v>38</v>
      </c>
      <c r="H429" s="55" t="s">
        <v>230</v>
      </c>
      <c r="I429" s="55" t="s">
        <v>159</v>
      </c>
      <c r="J429" s="55" t="s">
        <v>635</v>
      </c>
      <c r="K429" s="56">
        <v>45755</v>
      </c>
      <c r="L429" s="140" t="s">
        <v>398</v>
      </c>
    </row>
    <row r="430" spans="7:12" ht="16.25" customHeight="1" x14ac:dyDescent="0.2">
      <c r="G430" s="55" t="s">
        <v>175</v>
      </c>
      <c r="H430" s="55" t="s">
        <v>288</v>
      </c>
      <c r="I430" s="55" t="s">
        <v>155</v>
      </c>
      <c r="J430" s="55" t="s">
        <v>636</v>
      </c>
      <c r="K430" s="56">
        <v>45755</v>
      </c>
      <c r="L430" s="140" t="s">
        <v>400</v>
      </c>
    </row>
    <row r="431" spans="7:12" ht="16.25" customHeight="1" x14ac:dyDescent="0.2">
      <c r="G431" s="55" t="s">
        <v>43</v>
      </c>
      <c r="H431" s="55" t="s">
        <v>637</v>
      </c>
      <c r="I431" s="55" t="s">
        <v>66</v>
      </c>
      <c r="J431" s="55" t="s">
        <v>638</v>
      </c>
      <c r="K431" s="56">
        <v>45755</v>
      </c>
      <c r="L431" s="140" t="s">
        <v>27</v>
      </c>
    </row>
    <row r="432" spans="7:12" ht="16.25" customHeight="1" x14ac:dyDescent="0.2">
      <c r="G432" s="55" t="s">
        <v>31</v>
      </c>
      <c r="H432" s="55" t="s">
        <v>390</v>
      </c>
      <c r="I432" s="55" t="s">
        <v>373</v>
      </c>
      <c r="J432" s="55" t="s">
        <v>639</v>
      </c>
      <c r="K432" s="56">
        <v>45756</v>
      </c>
      <c r="L432" s="140" t="s">
        <v>360</v>
      </c>
    </row>
    <row r="433" spans="7:12" ht="16.25" customHeight="1" x14ac:dyDescent="0.2">
      <c r="G433" s="55" t="s">
        <v>161</v>
      </c>
      <c r="H433" s="55" t="s">
        <v>230</v>
      </c>
      <c r="I433" s="55" t="s">
        <v>640</v>
      </c>
      <c r="J433" s="55" t="s">
        <v>641</v>
      </c>
      <c r="K433" s="56">
        <v>45904</v>
      </c>
      <c r="L433" s="140" t="s">
        <v>380</v>
      </c>
    </row>
    <row r="434" spans="7:12" ht="16.25" customHeight="1" x14ac:dyDescent="0.2">
      <c r="G434" s="55" t="s">
        <v>161</v>
      </c>
      <c r="H434" s="55" t="s">
        <v>205</v>
      </c>
      <c r="I434" s="55" t="s">
        <v>640</v>
      </c>
      <c r="J434" s="55" t="s">
        <v>642</v>
      </c>
      <c r="K434" s="56">
        <v>45934</v>
      </c>
      <c r="L434" s="140" t="s">
        <v>380</v>
      </c>
    </row>
    <row r="435" spans="7:12" ht="16.25" customHeight="1" x14ac:dyDescent="0.2">
      <c r="G435" s="55" t="s">
        <v>43</v>
      </c>
      <c r="H435" s="55" t="s">
        <v>230</v>
      </c>
      <c r="I435" s="55" t="s">
        <v>410</v>
      </c>
      <c r="J435" s="55" t="s">
        <v>515</v>
      </c>
      <c r="K435" s="56">
        <v>45758</v>
      </c>
      <c r="L435" s="140" t="s">
        <v>27</v>
      </c>
    </row>
    <row r="436" spans="7:12" ht="16.25" customHeight="1" x14ac:dyDescent="0.2">
      <c r="G436" s="149" t="s">
        <v>369</v>
      </c>
      <c r="H436" s="149" t="s">
        <v>370</v>
      </c>
      <c r="I436" s="149" t="s">
        <v>41</v>
      </c>
      <c r="J436" s="149" t="s">
        <v>371</v>
      </c>
      <c r="K436" s="231">
        <v>45754</v>
      </c>
      <c r="L436" s="176"/>
    </row>
    <row r="437" spans="7:12" ht="16.25" customHeight="1" x14ac:dyDescent="0.2">
      <c r="G437" s="149" t="s">
        <v>369</v>
      </c>
      <c r="H437" s="149" t="s">
        <v>372</v>
      </c>
      <c r="I437" s="149" t="s">
        <v>165</v>
      </c>
      <c r="J437" s="149" t="s">
        <v>371</v>
      </c>
      <c r="K437" s="231">
        <v>45754</v>
      </c>
      <c r="L437" s="176"/>
    </row>
    <row r="438" spans="7:12" ht="16.25" customHeight="1" x14ac:dyDescent="0.2">
      <c r="G438" s="149" t="s">
        <v>369</v>
      </c>
      <c r="H438" s="149" t="s">
        <v>372</v>
      </c>
      <c r="I438" s="149" t="s">
        <v>163</v>
      </c>
      <c r="J438" s="149" t="s">
        <v>371</v>
      </c>
      <c r="K438" s="231">
        <v>45754</v>
      </c>
      <c r="L438" s="176"/>
    </row>
    <row r="439" spans="7:12" ht="16.25" customHeight="1" x14ac:dyDescent="0.2">
      <c r="G439" s="149" t="s">
        <v>369</v>
      </c>
      <c r="H439" s="149" t="s">
        <v>554</v>
      </c>
      <c r="I439" s="149" t="s">
        <v>373</v>
      </c>
      <c r="J439" s="149" t="s">
        <v>371</v>
      </c>
      <c r="K439" s="231">
        <v>45755</v>
      </c>
      <c r="L439" s="176"/>
    </row>
    <row r="440" spans="7:12" ht="16.25" customHeight="1" x14ac:dyDescent="0.2">
      <c r="G440" s="149" t="s">
        <v>369</v>
      </c>
      <c r="H440" s="149" t="s">
        <v>554</v>
      </c>
      <c r="I440" s="149" t="s">
        <v>63</v>
      </c>
      <c r="J440" s="149" t="s">
        <v>371</v>
      </c>
      <c r="K440" s="231">
        <v>45755</v>
      </c>
      <c r="L440" s="176"/>
    </row>
    <row r="441" spans="7:12" ht="16.25" customHeight="1" x14ac:dyDescent="0.2">
      <c r="G441" s="149" t="s">
        <v>369</v>
      </c>
      <c r="H441" s="149" t="s">
        <v>554</v>
      </c>
      <c r="I441" s="149" t="s">
        <v>36</v>
      </c>
      <c r="J441" s="149" t="s">
        <v>371</v>
      </c>
      <c r="K441" s="231">
        <v>45755</v>
      </c>
      <c r="L441" s="176"/>
    </row>
    <row r="442" spans="7:12" ht="16.25" customHeight="1" x14ac:dyDescent="0.2">
      <c r="G442" s="315" t="s">
        <v>38</v>
      </c>
      <c r="H442" s="315" t="s">
        <v>372</v>
      </c>
      <c r="I442" s="315" t="s">
        <v>643</v>
      </c>
      <c r="J442" s="315" t="s">
        <v>371</v>
      </c>
      <c r="K442" s="175">
        <v>45757</v>
      </c>
      <c r="L442" s="317"/>
    </row>
    <row r="443" spans="7:12" ht="16.25" customHeight="1" x14ac:dyDescent="0.2">
      <c r="G443" s="315" t="s">
        <v>404</v>
      </c>
      <c r="H443" s="315" t="s">
        <v>554</v>
      </c>
      <c r="I443" s="315" t="s">
        <v>167</v>
      </c>
      <c r="J443" s="315" t="s">
        <v>371</v>
      </c>
      <c r="K443" s="175">
        <v>45757</v>
      </c>
      <c r="L443" s="317"/>
    </row>
    <row r="444" spans="7:12" x14ac:dyDescent="0.2">
      <c r="G444" s="286" t="s">
        <v>644</v>
      </c>
      <c r="H444" s="286" t="s">
        <v>644</v>
      </c>
      <c r="I444" s="286" t="s">
        <v>644</v>
      </c>
      <c r="J444" s="286" t="s">
        <v>644</v>
      </c>
      <c r="K444" s="332" t="s">
        <v>644</v>
      </c>
      <c r="L444" s="286" t="s">
        <v>644</v>
      </c>
    </row>
    <row r="445" spans="7:12" x14ac:dyDescent="0.2">
      <c r="G445" s="120" t="s">
        <v>175</v>
      </c>
      <c r="H445" s="120" t="s">
        <v>230</v>
      </c>
      <c r="I445" s="120" t="s">
        <v>155</v>
      </c>
      <c r="J445" s="120" t="s">
        <v>645</v>
      </c>
      <c r="K445" s="123" t="s">
        <v>646</v>
      </c>
      <c r="L445" s="145" t="s">
        <v>380</v>
      </c>
    </row>
    <row r="446" spans="7:12" x14ac:dyDescent="0.2">
      <c r="G446" s="120" t="s">
        <v>474</v>
      </c>
      <c r="H446" s="120" t="s">
        <v>230</v>
      </c>
      <c r="I446" s="120" t="s">
        <v>162</v>
      </c>
      <c r="J446" s="120" t="s">
        <v>647</v>
      </c>
      <c r="K446" s="123" t="s">
        <v>646</v>
      </c>
      <c r="L446" s="145" t="s">
        <v>380</v>
      </c>
    </row>
    <row r="447" spans="7:12" x14ac:dyDescent="0.2">
      <c r="G447" s="55" t="s">
        <v>43</v>
      </c>
      <c r="H447" s="55" t="s">
        <v>205</v>
      </c>
      <c r="I447" s="55" t="s">
        <v>68</v>
      </c>
      <c r="J447" s="55" t="s">
        <v>648</v>
      </c>
      <c r="K447" s="56" t="s">
        <v>649</v>
      </c>
      <c r="L447" s="140" t="s">
        <v>380</v>
      </c>
    </row>
    <row r="448" spans="7:12" x14ac:dyDescent="0.2">
      <c r="G448" s="55" t="s">
        <v>474</v>
      </c>
      <c r="H448" s="55" t="s">
        <v>230</v>
      </c>
      <c r="I448" s="55" t="s">
        <v>162</v>
      </c>
      <c r="J448" s="55" t="s">
        <v>650</v>
      </c>
      <c r="K448" s="56" t="s">
        <v>649</v>
      </c>
      <c r="L448" s="140" t="s">
        <v>398</v>
      </c>
    </row>
    <row r="449" spans="7:12" x14ac:dyDescent="0.2">
      <c r="G449" s="55" t="s">
        <v>31</v>
      </c>
      <c r="H449" s="55" t="s">
        <v>273</v>
      </c>
      <c r="I449" s="55" t="s">
        <v>196</v>
      </c>
      <c r="J449" s="55" t="s">
        <v>363</v>
      </c>
      <c r="K449" s="56" t="s">
        <v>649</v>
      </c>
      <c r="L449" s="140" t="s">
        <v>360</v>
      </c>
    </row>
    <row r="450" spans="7:12" x14ac:dyDescent="0.2">
      <c r="G450" s="55" t="s">
        <v>31</v>
      </c>
      <c r="H450" s="55" t="s">
        <v>205</v>
      </c>
      <c r="I450" s="55" t="s">
        <v>373</v>
      </c>
      <c r="J450" s="55" t="s">
        <v>651</v>
      </c>
      <c r="K450" s="56" t="s">
        <v>652</v>
      </c>
      <c r="L450" s="140" t="s">
        <v>380</v>
      </c>
    </row>
    <row r="451" spans="7:12" x14ac:dyDescent="0.2">
      <c r="G451" s="55" t="s">
        <v>31</v>
      </c>
      <c r="H451" s="55" t="s">
        <v>202</v>
      </c>
      <c r="I451" s="55" t="s">
        <v>373</v>
      </c>
      <c r="J451" s="55" t="s">
        <v>653</v>
      </c>
      <c r="K451" s="56" t="s">
        <v>652</v>
      </c>
      <c r="L451" s="140" t="s">
        <v>400</v>
      </c>
    </row>
    <row r="452" spans="7:12" x14ac:dyDescent="0.2">
      <c r="G452" s="55" t="s">
        <v>31</v>
      </c>
      <c r="H452" s="55" t="s">
        <v>205</v>
      </c>
      <c r="I452" s="55" t="s">
        <v>373</v>
      </c>
      <c r="J452" s="55" t="s">
        <v>654</v>
      </c>
      <c r="K452" s="56" t="s">
        <v>655</v>
      </c>
      <c r="L452" s="140" t="s">
        <v>360</v>
      </c>
    </row>
    <row r="453" spans="7:12" x14ac:dyDescent="0.2">
      <c r="G453" s="316" t="s">
        <v>161</v>
      </c>
      <c r="H453" s="316" t="s">
        <v>554</v>
      </c>
      <c r="I453" s="316" t="s">
        <v>165</v>
      </c>
      <c r="J453" s="316" t="s">
        <v>371</v>
      </c>
      <c r="K453" s="186">
        <v>45761</v>
      </c>
      <c r="L453" s="319"/>
    </row>
    <row r="454" spans="7:12" x14ac:dyDescent="0.2">
      <c r="G454" s="315" t="s">
        <v>31</v>
      </c>
      <c r="H454" s="315" t="s">
        <v>554</v>
      </c>
      <c r="I454" s="315" t="s">
        <v>163</v>
      </c>
      <c r="J454" s="315" t="s">
        <v>371</v>
      </c>
      <c r="K454" s="175">
        <v>45761</v>
      </c>
      <c r="L454" s="317"/>
    </row>
    <row r="455" spans="7:12" x14ac:dyDescent="0.2">
      <c r="G455" s="315" t="s">
        <v>38</v>
      </c>
      <c r="H455" s="315" t="s">
        <v>554</v>
      </c>
      <c r="I455" s="315" t="s">
        <v>157</v>
      </c>
      <c r="J455" s="315" t="s">
        <v>371</v>
      </c>
      <c r="K455" s="175">
        <v>45761</v>
      </c>
      <c r="L455" s="317"/>
    </row>
    <row r="456" spans="7:12" x14ac:dyDescent="0.2">
      <c r="G456" s="315" t="s">
        <v>38</v>
      </c>
      <c r="H456" s="315" t="s">
        <v>554</v>
      </c>
      <c r="I456" s="315" t="s">
        <v>643</v>
      </c>
      <c r="J456" s="315" t="s">
        <v>371</v>
      </c>
      <c r="K456" s="175" t="s">
        <v>652</v>
      </c>
      <c r="L456" s="317"/>
    </row>
    <row r="457" spans="7:12" x14ac:dyDescent="0.2">
      <c r="G457" s="315" t="s">
        <v>38</v>
      </c>
      <c r="H457" s="315" t="s">
        <v>656</v>
      </c>
      <c r="I457" s="315" t="s">
        <v>169</v>
      </c>
      <c r="J457" s="315" t="s">
        <v>371</v>
      </c>
      <c r="K457" s="175" t="s">
        <v>652</v>
      </c>
      <c r="L457" s="317"/>
    </row>
    <row r="458" spans="7:12" x14ac:dyDescent="0.2">
      <c r="G458" s="320" t="s">
        <v>657</v>
      </c>
      <c r="H458" s="320" t="s">
        <v>657</v>
      </c>
      <c r="I458" s="320" t="s">
        <v>657</v>
      </c>
      <c r="J458" s="320" t="s">
        <v>657</v>
      </c>
      <c r="K458" s="334" t="s">
        <v>657</v>
      </c>
      <c r="L458" s="320" t="s">
        <v>657</v>
      </c>
    </row>
    <row r="459" spans="7:12" x14ac:dyDescent="0.2">
      <c r="G459" s="55" t="s">
        <v>31</v>
      </c>
      <c r="H459" s="55" t="s">
        <v>205</v>
      </c>
      <c r="I459" s="55" t="s">
        <v>373</v>
      </c>
      <c r="J459" s="55" t="s">
        <v>658</v>
      </c>
      <c r="K459" s="56" t="s">
        <v>659</v>
      </c>
      <c r="L459" s="140" t="s">
        <v>380</v>
      </c>
    </row>
    <row r="460" spans="7:12" x14ac:dyDescent="0.2">
      <c r="G460" s="55" t="s">
        <v>38</v>
      </c>
      <c r="H460" s="55" t="s">
        <v>192</v>
      </c>
      <c r="I460" s="55" t="s">
        <v>159</v>
      </c>
      <c r="J460" s="55" t="s">
        <v>660</v>
      </c>
      <c r="K460" s="56" t="s">
        <v>659</v>
      </c>
      <c r="L460" s="140" t="s">
        <v>398</v>
      </c>
    </row>
    <row r="461" spans="7:12" x14ac:dyDescent="0.2">
      <c r="G461" s="55" t="s">
        <v>161</v>
      </c>
      <c r="H461" s="55" t="s">
        <v>230</v>
      </c>
      <c r="I461" s="55" t="s">
        <v>640</v>
      </c>
      <c r="J461" s="55" t="s">
        <v>661</v>
      </c>
      <c r="K461" s="56" t="s">
        <v>659</v>
      </c>
      <c r="L461" s="140" t="s">
        <v>398</v>
      </c>
    </row>
    <row r="462" spans="7:12" x14ac:dyDescent="0.2">
      <c r="G462" s="55" t="s">
        <v>175</v>
      </c>
      <c r="H462" s="55" t="s">
        <v>230</v>
      </c>
      <c r="I462" s="55" t="s">
        <v>155</v>
      </c>
      <c r="J462" s="55" t="s">
        <v>662</v>
      </c>
      <c r="K462" s="56" t="s">
        <v>659</v>
      </c>
      <c r="L462" s="140" t="s">
        <v>380</v>
      </c>
    </row>
    <row r="463" spans="7:12" x14ac:dyDescent="0.2">
      <c r="G463" s="55" t="s">
        <v>31</v>
      </c>
      <c r="H463" s="55" t="s">
        <v>230</v>
      </c>
      <c r="I463" s="55" t="s">
        <v>162</v>
      </c>
      <c r="J463" s="55" t="s">
        <v>663</v>
      </c>
      <c r="K463" s="56" t="s">
        <v>664</v>
      </c>
      <c r="L463" s="140" t="s">
        <v>380</v>
      </c>
    </row>
    <row r="464" spans="7:12" x14ac:dyDescent="0.2">
      <c r="G464" s="55" t="s">
        <v>38</v>
      </c>
      <c r="H464" s="55" t="s">
        <v>230</v>
      </c>
      <c r="I464" s="55" t="s">
        <v>36</v>
      </c>
      <c r="J464" s="55" t="s">
        <v>665</v>
      </c>
      <c r="K464" s="56" t="s">
        <v>664</v>
      </c>
      <c r="L464" s="140" t="s">
        <v>27</v>
      </c>
    </row>
    <row r="465" spans="7:12" x14ac:dyDescent="0.2">
      <c r="G465" s="55" t="s">
        <v>31</v>
      </c>
      <c r="H465" s="55" t="s">
        <v>293</v>
      </c>
      <c r="I465" s="55" t="s">
        <v>163</v>
      </c>
      <c r="J465" s="55" t="s">
        <v>666</v>
      </c>
      <c r="K465" s="56" t="s">
        <v>667</v>
      </c>
      <c r="L465" s="140" t="s">
        <v>380</v>
      </c>
    </row>
    <row r="466" spans="7:12" x14ac:dyDescent="0.2">
      <c r="G466" s="315" t="s">
        <v>161</v>
      </c>
      <c r="H466" s="315" t="s">
        <v>656</v>
      </c>
      <c r="I466" s="315" t="s">
        <v>170</v>
      </c>
      <c r="J466" s="315" t="s">
        <v>371</v>
      </c>
      <c r="K466" s="175" t="s">
        <v>668</v>
      </c>
      <c r="L466" s="317"/>
    </row>
    <row r="467" spans="7:12" x14ac:dyDescent="0.2">
      <c r="G467" s="315" t="s">
        <v>38</v>
      </c>
      <c r="H467" s="315" t="s">
        <v>9</v>
      </c>
      <c r="I467" s="315" t="s">
        <v>169</v>
      </c>
      <c r="J467" s="315" t="s">
        <v>371</v>
      </c>
      <c r="K467" s="175" t="s">
        <v>669</v>
      </c>
      <c r="L467" s="317"/>
    </row>
    <row r="468" spans="7:12" x14ac:dyDescent="0.2">
      <c r="G468" s="315" t="s">
        <v>38</v>
      </c>
      <c r="H468" s="315" t="s">
        <v>9</v>
      </c>
      <c r="I468" s="315" t="s">
        <v>167</v>
      </c>
      <c r="J468" s="315" t="s">
        <v>371</v>
      </c>
      <c r="K468" s="175" t="s">
        <v>669</v>
      </c>
      <c r="L468" s="317"/>
    </row>
    <row r="469" spans="7:12" x14ac:dyDescent="0.2">
      <c r="G469" s="320" t="s">
        <v>670</v>
      </c>
      <c r="H469" s="320" t="s">
        <v>670</v>
      </c>
      <c r="I469" s="320" t="s">
        <v>670</v>
      </c>
      <c r="J469" s="320" t="s">
        <v>670</v>
      </c>
      <c r="K469" s="334" t="s">
        <v>670</v>
      </c>
      <c r="L469" s="320" t="s">
        <v>670</v>
      </c>
    </row>
    <row r="470" spans="7:12" x14ac:dyDescent="0.2">
      <c r="G470" s="55" t="s">
        <v>31</v>
      </c>
      <c r="H470" s="55" t="s">
        <v>205</v>
      </c>
      <c r="I470" s="55" t="s">
        <v>163</v>
      </c>
      <c r="J470" s="55" t="s">
        <v>671</v>
      </c>
      <c r="K470" s="56" t="s">
        <v>672</v>
      </c>
      <c r="L470" s="140" t="s">
        <v>398</v>
      </c>
    </row>
    <row r="471" spans="7:12" x14ac:dyDescent="0.2">
      <c r="G471" s="55" t="s">
        <v>31</v>
      </c>
      <c r="H471" s="55" t="s">
        <v>213</v>
      </c>
      <c r="I471" s="55" t="s">
        <v>55</v>
      </c>
      <c r="J471" s="55" t="s">
        <v>673</v>
      </c>
      <c r="K471" s="56" t="s">
        <v>674</v>
      </c>
      <c r="L471" s="140" t="s">
        <v>380</v>
      </c>
    </row>
    <row r="472" spans="7:12" x14ac:dyDescent="0.2">
      <c r="G472" s="55" t="s">
        <v>161</v>
      </c>
      <c r="H472" s="55" t="s">
        <v>293</v>
      </c>
      <c r="I472" s="55" t="s">
        <v>165</v>
      </c>
      <c r="J472" s="55" t="s">
        <v>675</v>
      </c>
      <c r="K472" s="56" t="s">
        <v>674</v>
      </c>
      <c r="L472" s="140" t="s">
        <v>398</v>
      </c>
    </row>
    <row r="473" spans="7:12" x14ac:dyDescent="0.2">
      <c r="G473" s="55" t="s">
        <v>38</v>
      </c>
      <c r="H473" s="55" t="s">
        <v>192</v>
      </c>
      <c r="I473" s="55" t="s">
        <v>63</v>
      </c>
      <c r="J473" s="55" t="s">
        <v>676</v>
      </c>
      <c r="K473" s="56" t="s">
        <v>674</v>
      </c>
      <c r="L473" s="140" t="s">
        <v>398</v>
      </c>
    </row>
    <row r="474" spans="7:12" x14ac:dyDescent="0.2">
      <c r="G474" s="55" t="s">
        <v>38</v>
      </c>
      <c r="H474" s="55" t="s">
        <v>202</v>
      </c>
      <c r="I474" s="55" t="s">
        <v>157</v>
      </c>
      <c r="J474" s="55" t="s">
        <v>677</v>
      </c>
      <c r="K474" s="56" t="s">
        <v>678</v>
      </c>
      <c r="L474" s="140" t="s">
        <v>398</v>
      </c>
    </row>
    <row r="475" spans="7:12" x14ac:dyDescent="0.2">
      <c r="G475" s="55" t="s">
        <v>161</v>
      </c>
      <c r="H475" s="55" t="s">
        <v>205</v>
      </c>
      <c r="I475" s="55" t="s">
        <v>640</v>
      </c>
      <c r="J475" s="55" t="s">
        <v>679</v>
      </c>
      <c r="K475" s="56" t="s">
        <v>680</v>
      </c>
      <c r="L475" s="140" t="s">
        <v>380</v>
      </c>
    </row>
    <row r="476" spans="7:12" x14ac:dyDescent="0.2">
      <c r="G476" s="55" t="s">
        <v>38</v>
      </c>
      <c r="H476" s="55" t="s">
        <v>230</v>
      </c>
      <c r="I476" s="55" t="s">
        <v>159</v>
      </c>
      <c r="J476" s="55" t="s">
        <v>681</v>
      </c>
      <c r="K476" s="56" t="s">
        <v>678</v>
      </c>
      <c r="L476" s="140" t="s">
        <v>398</v>
      </c>
    </row>
    <row r="477" spans="7:12" x14ac:dyDescent="0.2">
      <c r="G477" s="55" t="s">
        <v>31</v>
      </c>
      <c r="H477" s="55" t="s">
        <v>205</v>
      </c>
      <c r="I477" s="55" t="s">
        <v>55</v>
      </c>
      <c r="J477" s="55" t="s">
        <v>682</v>
      </c>
      <c r="K477" s="56">
        <v>45693</v>
      </c>
      <c r="L477" s="140" t="s">
        <v>380</v>
      </c>
    </row>
    <row r="478" spans="7:12" x14ac:dyDescent="0.2">
      <c r="G478" s="315" t="s">
        <v>161</v>
      </c>
      <c r="H478" s="315" t="s">
        <v>554</v>
      </c>
      <c r="I478" s="315" t="s">
        <v>165</v>
      </c>
      <c r="J478" s="315" t="s">
        <v>371</v>
      </c>
      <c r="K478" s="175" t="s">
        <v>683</v>
      </c>
      <c r="L478" s="317"/>
    </row>
    <row r="479" spans="7:12" x14ac:dyDescent="0.2">
      <c r="G479" s="315" t="s">
        <v>161</v>
      </c>
      <c r="H479" s="315" t="s">
        <v>554</v>
      </c>
      <c r="I479" s="315" t="s">
        <v>640</v>
      </c>
      <c r="J479" s="315" t="s">
        <v>371</v>
      </c>
      <c r="K479" s="175" t="s">
        <v>680</v>
      </c>
      <c r="L479" s="317"/>
    </row>
    <row r="480" spans="7:12" x14ac:dyDescent="0.2">
      <c r="G480" s="315" t="s">
        <v>161</v>
      </c>
      <c r="H480" s="315" t="s">
        <v>554</v>
      </c>
      <c r="I480" s="315" t="s">
        <v>170</v>
      </c>
      <c r="J480" s="315" t="s">
        <v>371</v>
      </c>
      <c r="K480" s="175" t="s">
        <v>680</v>
      </c>
      <c r="L480" s="317"/>
    </row>
    <row r="481" spans="7:12" x14ac:dyDescent="0.2">
      <c r="G481" s="315" t="s">
        <v>684</v>
      </c>
      <c r="H481" s="315" t="s">
        <v>554</v>
      </c>
      <c r="I481" s="315" t="s">
        <v>163</v>
      </c>
      <c r="J481" s="315" t="s">
        <v>371</v>
      </c>
      <c r="K481" s="175" t="s">
        <v>680</v>
      </c>
      <c r="L481" s="317"/>
    </row>
    <row r="482" spans="7:12" x14ac:dyDescent="0.2">
      <c r="G482" s="315" t="s">
        <v>684</v>
      </c>
      <c r="H482" s="315" t="s">
        <v>685</v>
      </c>
      <c r="I482" s="315" t="s">
        <v>55</v>
      </c>
      <c r="J482" s="315" t="s">
        <v>371</v>
      </c>
      <c r="K482" s="175">
        <v>45693</v>
      </c>
      <c r="L482" s="317"/>
    </row>
    <row r="483" spans="7:12" x14ac:dyDescent="0.2">
      <c r="G483" s="315" t="s">
        <v>686</v>
      </c>
      <c r="H483" s="315" t="s">
        <v>685</v>
      </c>
      <c r="I483" s="315" t="s">
        <v>159</v>
      </c>
      <c r="J483" s="315" t="s">
        <v>371</v>
      </c>
      <c r="K483" s="175">
        <v>45693</v>
      </c>
      <c r="L483" s="317"/>
    </row>
    <row r="484" spans="7:12" x14ac:dyDescent="0.2">
      <c r="G484" s="320" t="s">
        <v>687</v>
      </c>
      <c r="H484" s="320" t="s">
        <v>687</v>
      </c>
      <c r="I484" s="320" t="s">
        <v>688</v>
      </c>
      <c r="J484" s="320" t="s">
        <v>688</v>
      </c>
      <c r="K484" s="334" t="s">
        <v>688</v>
      </c>
      <c r="L484" s="320" t="s">
        <v>688</v>
      </c>
    </row>
    <row r="485" spans="7:12" x14ac:dyDescent="0.2">
      <c r="G485" s="55" t="s">
        <v>31</v>
      </c>
      <c r="H485" s="55" t="s">
        <v>205</v>
      </c>
      <c r="I485" s="55" t="s">
        <v>373</v>
      </c>
      <c r="J485" s="55" t="s">
        <v>689</v>
      </c>
      <c r="K485" s="56">
        <v>45782</v>
      </c>
      <c r="L485" s="140" t="s">
        <v>364</v>
      </c>
    </row>
    <row r="486" spans="7:12" x14ac:dyDescent="0.2">
      <c r="G486" s="55" t="s">
        <v>31</v>
      </c>
      <c r="H486" s="55" t="s">
        <v>205</v>
      </c>
      <c r="I486" s="55" t="s">
        <v>162</v>
      </c>
      <c r="J486" s="55" t="s">
        <v>336</v>
      </c>
      <c r="K486" s="56">
        <v>45782</v>
      </c>
      <c r="L486" s="140" t="s">
        <v>380</v>
      </c>
    </row>
    <row r="487" spans="7:12" x14ac:dyDescent="0.2">
      <c r="G487" s="55" t="s">
        <v>161</v>
      </c>
      <c r="H487" s="55" t="s">
        <v>230</v>
      </c>
      <c r="I487" s="55" t="s">
        <v>165</v>
      </c>
      <c r="J487" s="55" t="s">
        <v>690</v>
      </c>
      <c r="K487" s="56">
        <v>45813</v>
      </c>
      <c r="L487" s="140" t="s">
        <v>380</v>
      </c>
    </row>
    <row r="488" spans="7:12" x14ac:dyDescent="0.2">
      <c r="G488" s="55" t="s">
        <v>38</v>
      </c>
      <c r="H488" s="55" t="s">
        <v>205</v>
      </c>
      <c r="I488" s="55" t="s">
        <v>169</v>
      </c>
      <c r="J488" s="55" t="s">
        <v>691</v>
      </c>
      <c r="K488" s="56">
        <v>45874</v>
      </c>
      <c r="L488" s="140" t="s">
        <v>400</v>
      </c>
    </row>
    <row r="489" spans="7:12" x14ac:dyDescent="0.2">
      <c r="G489" s="55" t="s">
        <v>38</v>
      </c>
      <c r="H489" s="55" t="s">
        <v>230</v>
      </c>
      <c r="I489" s="55" t="s">
        <v>169</v>
      </c>
      <c r="J489" s="55" t="s">
        <v>692</v>
      </c>
      <c r="K489" s="56">
        <v>45874</v>
      </c>
      <c r="L489" s="140" t="s">
        <v>380</v>
      </c>
    </row>
    <row r="490" spans="7:12" x14ac:dyDescent="0.2">
      <c r="G490" s="55" t="s">
        <v>38</v>
      </c>
      <c r="H490" s="55" t="s">
        <v>202</v>
      </c>
      <c r="I490" s="55" t="s">
        <v>167</v>
      </c>
      <c r="J490" s="55" t="s">
        <v>693</v>
      </c>
      <c r="K490" s="56">
        <v>45874</v>
      </c>
      <c r="L490" s="140" t="s">
        <v>380</v>
      </c>
    </row>
    <row r="491" spans="7:12" x14ac:dyDescent="0.2">
      <c r="G491" s="55" t="s">
        <v>161</v>
      </c>
      <c r="H491" s="55" t="s">
        <v>230</v>
      </c>
      <c r="I491" s="55" t="s">
        <v>640</v>
      </c>
      <c r="J491" s="55" t="s">
        <v>694</v>
      </c>
      <c r="K491" s="56">
        <v>45905</v>
      </c>
      <c r="L491" s="140" t="s">
        <v>398</v>
      </c>
    </row>
    <row r="492" spans="7:12" x14ac:dyDescent="0.2">
      <c r="G492" s="315" t="s">
        <v>686</v>
      </c>
      <c r="H492" s="315" t="s">
        <v>9</v>
      </c>
      <c r="I492" s="315" t="s">
        <v>157</v>
      </c>
      <c r="J492" s="315" t="s">
        <v>695</v>
      </c>
      <c r="K492" s="175">
        <v>45782</v>
      </c>
      <c r="L492" s="317"/>
    </row>
    <row r="493" spans="7:12" x14ac:dyDescent="0.2">
      <c r="G493" s="315" t="s">
        <v>696</v>
      </c>
      <c r="H493" s="315" t="s">
        <v>656</v>
      </c>
      <c r="I493" s="315" t="s">
        <v>697</v>
      </c>
      <c r="J493" s="315" t="s">
        <v>698</v>
      </c>
      <c r="K493" s="175">
        <v>45813</v>
      </c>
      <c r="L493" s="317"/>
    </row>
    <row r="494" spans="7:12" x14ac:dyDescent="0.2">
      <c r="G494" s="315" t="s">
        <v>686</v>
      </c>
      <c r="H494" s="315" t="s">
        <v>9</v>
      </c>
      <c r="I494" s="315" t="s">
        <v>167</v>
      </c>
      <c r="J494" s="315" t="s">
        <v>698</v>
      </c>
      <c r="K494" s="175">
        <v>45874</v>
      </c>
      <c r="L494" s="317"/>
    </row>
    <row r="495" spans="7:12" x14ac:dyDescent="0.2">
      <c r="G495" s="315" t="s">
        <v>699</v>
      </c>
      <c r="H495" s="315" t="s">
        <v>9</v>
      </c>
      <c r="I495" s="315" t="s">
        <v>155</v>
      </c>
      <c r="J495" s="315" t="s">
        <v>698</v>
      </c>
      <c r="K495" s="175">
        <v>45874</v>
      </c>
      <c r="L495" s="317"/>
    </row>
    <row r="496" spans="7:12" x14ac:dyDescent="0.2">
      <c r="G496" s="315" t="s">
        <v>684</v>
      </c>
      <c r="H496" s="315" t="s">
        <v>9</v>
      </c>
      <c r="I496" s="315" t="s">
        <v>373</v>
      </c>
      <c r="J496" s="315" t="s">
        <v>698</v>
      </c>
      <c r="K496" s="175">
        <v>45874</v>
      </c>
      <c r="L496" s="317"/>
    </row>
    <row r="497" spans="7:12" x14ac:dyDescent="0.2">
      <c r="G497" s="315" t="s">
        <v>700</v>
      </c>
      <c r="H497" s="315" t="s">
        <v>9</v>
      </c>
      <c r="I497" s="315" t="s">
        <v>68</v>
      </c>
      <c r="J497" s="315" t="s">
        <v>698</v>
      </c>
      <c r="K497" s="175">
        <v>45905</v>
      </c>
      <c r="L497" s="317"/>
    </row>
    <row r="498" spans="7:12" x14ac:dyDescent="0.2">
      <c r="G498" s="320" t="s">
        <v>701</v>
      </c>
      <c r="H498" s="320" t="s">
        <v>701</v>
      </c>
      <c r="I498" s="320" t="s">
        <v>701</v>
      </c>
      <c r="J498" s="320" t="s">
        <v>701</v>
      </c>
      <c r="K498" s="334" t="s">
        <v>701</v>
      </c>
      <c r="L498" s="320" t="s">
        <v>701</v>
      </c>
    </row>
    <row r="499" spans="7:12" x14ac:dyDescent="0.2">
      <c r="G499" s="55" t="s">
        <v>38</v>
      </c>
      <c r="H499" s="55" t="s">
        <v>192</v>
      </c>
      <c r="I499" s="55" t="s">
        <v>643</v>
      </c>
      <c r="J499" s="55" t="s">
        <v>702</v>
      </c>
      <c r="K499" s="56">
        <v>45631</v>
      </c>
      <c r="L499" s="140" t="s">
        <v>380</v>
      </c>
    </row>
    <row r="500" spans="7:12" x14ac:dyDescent="0.2">
      <c r="G500" s="55" t="s">
        <v>38</v>
      </c>
      <c r="H500" s="55" t="s">
        <v>192</v>
      </c>
      <c r="I500" s="55" t="s">
        <v>643</v>
      </c>
      <c r="J500" s="55" t="s">
        <v>703</v>
      </c>
      <c r="K500" s="56">
        <v>45631</v>
      </c>
      <c r="L500" s="140" t="s">
        <v>400</v>
      </c>
    </row>
    <row r="501" spans="7:12" x14ac:dyDescent="0.2">
      <c r="G501" s="55" t="s">
        <v>175</v>
      </c>
      <c r="H501" s="55" t="s">
        <v>205</v>
      </c>
      <c r="I501" s="55" t="s">
        <v>91</v>
      </c>
      <c r="J501" s="55" t="s">
        <v>704</v>
      </c>
      <c r="K501" s="56">
        <v>45789</v>
      </c>
      <c r="L501" s="140" t="s">
        <v>27</v>
      </c>
    </row>
    <row r="502" spans="7:12" x14ac:dyDescent="0.2">
      <c r="G502" s="55" t="s">
        <v>161</v>
      </c>
      <c r="H502" s="55" t="s">
        <v>213</v>
      </c>
      <c r="I502" s="55" t="s">
        <v>170</v>
      </c>
      <c r="J502" s="55" t="s">
        <v>705</v>
      </c>
      <c r="K502" s="56" t="s">
        <v>706</v>
      </c>
      <c r="L502" s="140" t="s">
        <v>360</v>
      </c>
    </row>
    <row r="503" spans="7:12" x14ac:dyDescent="0.2">
      <c r="G503" s="55" t="s">
        <v>707</v>
      </c>
      <c r="H503" s="55" t="s">
        <v>250</v>
      </c>
      <c r="I503" s="55" t="s">
        <v>68</v>
      </c>
      <c r="J503" s="55" t="s">
        <v>708</v>
      </c>
      <c r="K503" s="56" t="s">
        <v>709</v>
      </c>
      <c r="L503" s="140" t="s">
        <v>398</v>
      </c>
    </row>
    <row r="504" spans="7:12" x14ac:dyDescent="0.2">
      <c r="G504" s="55" t="s">
        <v>38</v>
      </c>
      <c r="H504" s="55" t="s">
        <v>286</v>
      </c>
      <c r="I504" s="55" t="s">
        <v>167</v>
      </c>
      <c r="J504" s="55" t="s">
        <v>710</v>
      </c>
      <c r="K504" s="56" t="s">
        <v>709</v>
      </c>
      <c r="L504" s="140" t="s">
        <v>380</v>
      </c>
    </row>
    <row r="505" spans="7:12" x14ac:dyDescent="0.2">
      <c r="G505" s="55" t="s">
        <v>31</v>
      </c>
      <c r="H505" s="55" t="s">
        <v>213</v>
      </c>
      <c r="I505" s="55" t="s">
        <v>162</v>
      </c>
      <c r="J505" s="55" t="s">
        <v>711</v>
      </c>
      <c r="K505" s="56" t="s">
        <v>709</v>
      </c>
      <c r="L505" s="140" t="s">
        <v>380</v>
      </c>
    </row>
    <row r="506" spans="7:12" x14ac:dyDescent="0.2">
      <c r="G506" s="55" t="s">
        <v>31</v>
      </c>
      <c r="H506" s="55" t="s">
        <v>192</v>
      </c>
      <c r="I506" s="55" t="s">
        <v>162</v>
      </c>
      <c r="J506" s="55" t="s">
        <v>712</v>
      </c>
      <c r="K506" s="56" t="s">
        <v>709</v>
      </c>
      <c r="L506" s="140" t="s">
        <v>398</v>
      </c>
    </row>
    <row r="507" spans="7:12" ht="15" customHeight="1" x14ac:dyDescent="0.2">
      <c r="G507" s="55" t="s">
        <v>31</v>
      </c>
      <c r="H507" s="55" t="s">
        <v>205</v>
      </c>
      <c r="I507" s="55" t="s">
        <v>163</v>
      </c>
      <c r="J507" s="55" t="s">
        <v>713</v>
      </c>
      <c r="K507" s="56" t="s">
        <v>714</v>
      </c>
      <c r="L507" s="140" t="s">
        <v>380</v>
      </c>
    </row>
    <row r="508" spans="7:12" ht="15" customHeight="1" x14ac:dyDescent="0.2">
      <c r="G508" s="55" t="s">
        <v>38</v>
      </c>
      <c r="H508" s="55" t="s">
        <v>230</v>
      </c>
      <c r="I508" s="55" t="s">
        <v>157</v>
      </c>
      <c r="J508" s="55" t="s">
        <v>715</v>
      </c>
      <c r="K508" s="56" t="s">
        <v>714</v>
      </c>
      <c r="L508" s="140" t="s">
        <v>380</v>
      </c>
    </row>
    <row r="509" spans="7:12" ht="15" customHeight="1" x14ac:dyDescent="0.2">
      <c r="G509" s="55" t="s">
        <v>31</v>
      </c>
      <c r="H509" s="55" t="s">
        <v>205</v>
      </c>
      <c r="I509" s="55" t="s">
        <v>208</v>
      </c>
      <c r="J509" s="55" t="s">
        <v>716</v>
      </c>
      <c r="K509" s="56" t="s">
        <v>717</v>
      </c>
      <c r="L509" s="140" t="s">
        <v>360</v>
      </c>
    </row>
    <row r="510" spans="7:12" x14ac:dyDescent="0.2">
      <c r="G510" s="315" t="s">
        <v>684</v>
      </c>
      <c r="H510" s="315" t="s">
        <v>656</v>
      </c>
      <c r="I510" s="315" t="s">
        <v>171</v>
      </c>
      <c r="J510" s="315" t="s">
        <v>698</v>
      </c>
      <c r="K510" s="175">
        <v>45996</v>
      </c>
      <c r="L510" s="317"/>
    </row>
    <row r="511" spans="7:12" x14ac:dyDescent="0.2">
      <c r="G511" s="315" t="s">
        <v>696</v>
      </c>
      <c r="H511" s="315" t="s">
        <v>718</v>
      </c>
      <c r="I511" s="315" t="s">
        <v>697</v>
      </c>
      <c r="J511" s="315" t="s">
        <v>698</v>
      </c>
      <c r="K511" s="175" t="s">
        <v>706</v>
      </c>
      <c r="L511" s="317"/>
    </row>
    <row r="512" spans="7:12" x14ac:dyDescent="0.2">
      <c r="G512" s="315" t="s">
        <v>719</v>
      </c>
      <c r="H512" s="315" t="s">
        <v>9</v>
      </c>
      <c r="I512" s="315" t="s">
        <v>51</v>
      </c>
      <c r="J512" s="315" t="s">
        <v>698</v>
      </c>
      <c r="K512" s="175" t="s">
        <v>706</v>
      </c>
      <c r="L512" s="317"/>
    </row>
    <row r="513" spans="7:12" x14ac:dyDescent="0.2">
      <c r="G513" s="315" t="s">
        <v>720</v>
      </c>
      <c r="H513" s="315" t="s">
        <v>9</v>
      </c>
      <c r="I513" s="315" t="s">
        <v>163</v>
      </c>
      <c r="J513" s="315" t="s">
        <v>698</v>
      </c>
      <c r="K513" s="175" t="s">
        <v>706</v>
      </c>
      <c r="L513" s="317"/>
    </row>
    <row r="514" spans="7:12" x14ac:dyDescent="0.2">
      <c r="G514" s="315" t="s">
        <v>696</v>
      </c>
      <c r="H514" s="315" t="s">
        <v>9</v>
      </c>
      <c r="I514" s="315" t="s">
        <v>721</v>
      </c>
      <c r="J514" s="315" t="s">
        <v>698</v>
      </c>
      <c r="K514" s="175" t="s">
        <v>706</v>
      </c>
      <c r="L514" s="317"/>
    </row>
    <row r="515" spans="7:12" x14ac:dyDescent="0.2">
      <c r="G515" s="315" t="s">
        <v>720</v>
      </c>
      <c r="H515" s="315" t="s">
        <v>9</v>
      </c>
      <c r="I515" s="315" t="s">
        <v>162</v>
      </c>
      <c r="J515" s="315" t="s">
        <v>698</v>
      </c>
      <c r="K515" s="175" t="s">
        <v>709</v>
      </c>
      <c r="L515" s="317"/>
    </row>
    <row r="516" spans="7:12" x14ac:dyDescent="0.2">
      <c r="G516" s="315" t="s">
        <v>686</v>
      </c>
      <c r="H516" s="315" t="s">
        <v>9</v>
      </c>
      <c r="I516" s="315" t="s">
        <v>643</v>
      </c>
      <c r="J516" s="315" t="s">
        <v>698</v>
      </c>
      <c r="K516" s="175" t="s">
        <v>714</v>
      </c>
      <c r="L516" s="317"/>
    </row>
    <row r="517" spans="7:12" x14ac:dyDescent="0.2">
      <c r="G517" s="315" t="s">
        <v>722</v>
      </c>
      <c r="H517" s="315" t="s">
        <v>9</v>
      </c>
      <c r="I517" s="315" t="s">
        <v>723</v>
      </c>
      <c r="J517" s="315" t="s">
        <v>698</v>
      </c>
      <c r="K517" s="175" t="s">
        <v>714</v>
      </c>
      <c r="L517" s="317"/>
    </row>
    <row r="518" spans="7:12" x14ac:dyDescent="0.2">
      <c r="G518" s="315" t="s">
        <v>696</v>
      </c>
      <c r="H518" s="315" t="s">
        <v>656</v>
      </c>
      <c r="I518" s="315" t="s">
        <v>724</v>
      </c>
      <c r="J518" s="315" t="s">
        <v>698</v>
      </c>
      <c r="K518" s="175" t="s">
        <v>714</v>
      </c>
      <c r="L518" s="317"/>
    </row>
    <row r="519" spans="7:12" x14ac:dyDescent="0.2">
      <c r="G519" s="315" t="s">
        <v>684</v>
      </c>
      <c r="H519" s="315" t="s">
        <v>725</v>
      </c>
      <c r="I519" s="315" t="s">
        <v>726</v>
      </c>
      <c r="J519" s="315" t="s">
        <v>698</v>
      </c>
      <c r="K519" s="175" t="s">
        <v>717</v>
      </c>
      <c r="L519" s="317"/>
    </row>
    <row r="520" spans="7:12" x14ac:dyDescent="0.2">
      <c r="G520" s="315" t="s">
        <v>699</v>
      </c>
      <c r="H520" s="315" t="s">
        <v>725</v>
      </c>
      <c r="I520" s="315" t="s">
        <v>56</v>
      </c>
      <c r="J520" s="315" t="s">
        <v>698</v>
      </c>
      <c r="K520" s="175" t="s">
        <v>717</v>
      </c>
      <c r="L520" s="317"/>
    </row>
    <row r="521" spans="7:12" x14ac:dyDescent="0.2">
      <c r="G521" s="315" t="s">
        <v>684</v>
      </c>
      <c r="H521" s="315" t="s">
        <v>718</v>
      </c>
      <c r="I521" s="315" t="s">
        <v>171</v>
      </c>
      <c r="J521" s="315" t="s">
        <v>698</v>
      </c>
      <c r="K521" s="175" t="s">
        <v>727</v>
      </c>
      <c r="L521" s="317"/>
    </row>
    <row r="522" spans="7:12" x14ac:dyDescent="0.2">
      <c r="G522" s="315" t="s">
        <v>720</v>
      </c>
      <c r="H522" s="315" t="s">
        <v>9</v>
      </c>
      <c r="I522" s="315" t="s">
        <v>608</v>
      </c>
      <c r="J522" s="315" t="s">
        <v>698</v>
      </c>
      <c r="K522" s="175" t="s">
        <v>727</v>
      </c>
      <c r="L522" s="317"/>
    </row>
    <row r="523" spans="7:12" x14ac:dyDescent="0.2">
      <c r="G523" s="320" t="s">
        <v>728</v>
      </c>
      <c r="H523" s="320" t="s">
        <v>728</v>
      </c>
      <c r="I523" s="320" t="s">
        <v>728</v>
      </c>
      <c r="J523" s="320" t="s">
        <v>728</v>
      </c>
      <c r="K523" s="334" t="s">
        <v>728</v>
      </c>
      <c r="L523" s="320" t="s">
        <v>728</v>
      </c>
    </row>
    <row r="524" spans="7:12" x14ac:dyDescent="0.2">
      <c r="G524" s="55" t="s">
        <v>38</v>
      </c>
      <c r="H524" s="55" t="s">
        <v>202</v>
      </c>
      <c r="I524" s="55" t="s">
        <v>157</v>
      </c>
      <c r="J524" s="55" t="s">
        <v>729</v>
      </c>
      <c r="K524" s="56" t="s">
        <v>730</v>
      </c>
      <c r="L524" s="140" t="s">
        <v>398</v>
      </c>
    </row>
    <row r="525" spans="7:12" x14ac:dyDescent="0.2">
      <c r="G525" s="55" t="s">
        <v>38</v>
      </c>
      <c r="H525" s="55" t="s">
        <v>230</v>
      </c>
      <c r="I525" s="55" t="s">
        <v>167</v>
      </c>
      <c r="J525" s="55" t="s">
        <v>731</v>
      </c>
      <c r="K525" s="56" t="s">
        <v>732</v>
      </c>
      <c r="L525" s="140" t="s">
        <v>380</v>
      </c>
    </row>
    <row r="526" spans="7:12" x14ac:dyDescent="0.2">
      <c r="G526" s="55" t="s">
        <v>31</v>
      </c>
      <c r="H526" s="55" t="s">
        <v>230</v>
      </c>
      <c r="I526" s="55" t="s">
        <v>163</v>
      </c>
      <c r="J526" s="55" t="s">
        <v>733</v>
      </c>
      <c r="K526" s="56" t="s">
        <v>734</v>
      </c>
      <c r="L526" s="140" t="s">
        <v>380</v>
      </c>
    </row>
    <row r="527" spans="7:12" x14ac:dyDescent="0.2">
      <c r="G527" s="55" t="s">
        <v>31</v>
      </c>
      <c r="H527" s="55" t="s">
        <v>205</v>
      </c>
      <c r="I527" s="55" t="s">
        <v>373</v>
      </c>
      <c r="J527" s="55" t="s">
        <v>651</v>
      </c>
      <c r="K527" s="56" t="s">
        <v>734</v>
      </c>
      <c r="L527" s="140" t="s">
        <v>360</v>
      </c>
    </row>
    <row r="528" spans="7:12" x14ac:dyDescent="0.2">
      <c r="G528" s="55" t="s">
        <v>707</v>
      </c>
      <c r="H528" s="55" t="s">
        <v>192</v>
      </c>
      <c r="I528" s="55" t="s">
        <v>68</v>
      </c>
      <c r="J528" s="55" t="s">
        <v>735</v>
      </c>
      <c r="K528" s="56" t="s">
        <v>734</v>
      </c>
      <c r="L528" s="140" t="s">
        <v>400</v>
      </c>
    </row>
    <row r="529" spans="7:12" x14ac:dyDescent="0.2">
      <c r="G529" s="55" t="s">
        <v>175</v>
      </c>
      <c r="H529" s="55" t="s">
        <v>205</v>
      </c>
      <c r="I529" s="55" t="s">
        <v>56</v>
      </c>
      <c r="J529" s="55" t="s">
        <v>736</v>
      </c>
      <c r="K529" s="56">
        <v>46163</v>
      </c>
      <c r="L529" s="140" t="s">
        <v>360</v>
      </c>
    </row>
    <row r="530" spans="7:12" x14ac:dyDescent="0.2">
      <c r="G530" s="55" t="s">
        <v>175</v>
      </c>
      <c r="H530" s="55" t="s">
        <v>205</v>
      </c>
      <c r="I530" s="55" t="s">
        <v>56</v>
      </c>
      <c r="J530" s="55" t="s">
        <v>737</v>
      </c>
      <c r="K530" s="56">
        <v>46164</v>
      </c>
      <c r="L530" s="140" t="s">
        <v>360</v>
      </c>
    </row>
    <row r="531" spans="7:12" x14ac:dyDescent="0.2">
      <c r="G531" s="55" t="s">
        <v>175</v>
      </c>
      <c r="H531" s="55" t="s">
        <v>205</v>
      </c>
      <c r="I531" s="55" t="s">
        <v>738</v>
      </c>
      <c r="J531" s="55" t="s">
        <v>737</v>
      </c>
      <c r="K531" s="56">
        <v>46164</v>
      </c>
      <c r="L531" s="140" t="s">
        <v>360</v>
      </c>
    </row>
    <row r="532" spans="7:12" x14ac:dyDescent="0.2">
      <c r="G532" s="55" t="s">
        <v>31</v>
      </c>
      <c r="H532" s="55" t="s">
        <v>205</v>
      </c>
      <c r="I532" s="55" t="s">
        <v>171</v>
      </c>
      <c r="J532" s="55" t="s">
        <v>739</v>
      </c>
      <c r="K532" s="56" t="s">
        <v>740</v>
      </c>
      <c r="L532" s="140" t="s">
        <v>380</v>
      </c>
    </row>
    <row r="533" spans="7:12" x14ac:dyDescent="0.2">
      <c r="G533" s="55" t="s">
        <v>38</v>
      </c>
      <c r="H533" s="55" t="s">
        <v>192</v>
      </c>
      <c r="I533" s="55" t="s">
        <v>169</v>
      </c>
      <c r="J533" s="55" t="s">
        <v>741</v>
      </c>
      <c r="K533" s="56" t="s">
        <v>740</v>
      </c>
      <c r="L533" s="140" t="s">
        <v>380</v>
      </c>
    </row>
    <row r="534" spans="7:12" x14ac:dyDescent="0.2">
      <c r="G534" s="55" t="s">
        <v>31</v>
      </c>
      <c r="H534" s="55" t="s">
        <v>230</v>
      </c>
      <c r="I534" s="55" t="s">
        <v>373</v>
      </c>
      <c r="J534" s="55" t="s">
        <v>742</v>
      </c>
      <c r="K534" s="56" t="s">
        <v>743</v>
      </c>
      <c r="L534" s="140" t="s">
        <v>398</v>
      </c>
    </row>
    <row r="535" spans="7:12" x14ac:dyDescent="0.2">
      <c r="G535" s="315" t="s">
        <v>720</v>
      </c>
      <c r="H535" s="315" t="s">
        <v>9</v>
      </c>
      <c r="I535" s="315" t="s">
        <v>157</v>
      </c>
      <c r="J535" s="315" t="s">
        <v>698</v>
      </c>
      <c r="K535" s="175" t="s">
        <v>730</v>
      </c>
      <c r="L535" s="317"/>
    </row>
    <row r="536" spans="7:12" x14ac:dyDescent="0.2">
      <c r="G536" s="315" t="s">
        <v>696</v>
      </c>
      <c r="H536" s="315" t="s">
        <v>718</v>
      </c>
      <c r="I536" s="315" t="s">
        <v>744</v>
      </c>
      <c r="J536" s="315" t="s">
        <v>698</v>
      </c>
      <c r="K536" s="175" t="s">
        <v>732</v>
      </c>
      <c r="L536" s="317"/>
    </row>
    <row r="537" spans="7:12" x14ac:dyDescent="0.2">
      <c r="G537" s="315" t="s">
        <v>686</v>
      </c>
      <c r="H537" s="315" t="s">
        <v>9</v>
      </c>
      <c r="I537" s="315" t="s">
        <v>63</v>
      </c>
      <c r="J537" s="315" t="s">
        <v>698</v>
      </c>
      <c r="K537" s="175" t="s">
        <v>732</v>
      </c>
      <c r="L537" s="317"/>
    </row>
    <row r="538" spans="7:12" x14ac:dyDescent="0.2">
      <c r="G538" s="315" t="s">
        <v>720</v>
      </c>
      <c r="H538" s="315" t="s">
        <v>9</v>
      </c>
      <c r="I538" s="315" t="s">
        <v>169</v>
      </c>
      <c r="J538" s="315" t="s">
        <v>698</v>
      </c>
      <c r="K538" s="175" t="s">
        <v>745</v>
      </c>
      <c r="L538" s="317"/>
    </row>
    <row r="539" spans="7:12" x14ac:dyDescent="0.2">
      <c r="G539" s="315" t="s">
        <v>720</v>
      </c>
      <c r="H539" s="315" t="s">
        <v>9</v>
      </c>
      <c r="I539" s="315" t="s">
        <v>159</v>
      </c>
      <c r="J539" s="315" t="s">
        <v>698</v>
      </c>
      <c r="K539" s="175" t="s">
        <v>745</v>
      </c>
      <c r="L539" s="317"/>
    </row>
    <row r="540" spans="7:12" x14ac:dyDescent="0.2">
      <c r="G540" s="315" t="s">
        <v>720</v>
      </c>
      <c r="H540" s="315" t="s">
        <v>9</v>
      </c>
      <c r="I540" s="315" t="s">
        <v>167</v>
      </c>
      <c r="J540" s="315" t="s">
        <v>698</v>
      </c>
      <c r="K540" s="175" t="s">
        <v>746</v>
      </c>
      <c r="L540" s="317"/>
    </row>
    <row r="541" spans="7:12" x14ac:dyDescent="0.2">
      <c r="G541" s="315" t="s">
        <v>720</v>
      </c>
      <c r="H541" s="315" t="s">
        <v>9</v>
      </c>
      <c r="I541" s="315" t="s">
        <v>155</v>
      </c>
      <c r="J541" s="315" t="s">
        <v>698</v>
      </c>
      <c r="K541" s="175" t="s">
        <v>746</v>
      </c>
      <c r="L541" s="317"/>
    </row>
    <row r="542" spans="7:12" x14ac:dyDescent="0.2">
      <c r="G542" s="315" t="s">
        <v>720</v>
      </c>
      <c r="H542" s="315" t="s">
        <v>9</v>
      </c>
      <c r="I542" s="315" t="s">
        <v>373</v>
      </c>
      <c r="J542" s="315" t="s">
        <v>698</v>
      </c>
      <c r="K542" s="175" t="s">
        <v>746</v>
      </c>
      <c r="L542" s="317"/>
    </row>
    <row r="543" spans="7:12" x14ac:dyDescent="0.2">
      <c r="G543" s="315" t="s">
        <v>720</v>
      </c>
      <c r="H543" s="315" t="s">
        <v>9</v>
      </c>
      <c r="I543" s="315" t="s">
        <v>68</v>
      </c>
      <c r="J543" s="315" t="s">
        <v>698</v>
      </c>
      <c r="K543" s="175" t="s">
        <v>747</v>
      </c>
      <c r="L543" s="317"/>
    </row>
    <row r="544" spans="7:12" x14ac:dyDescent="0.2">
      <c r="G544" s="54" t="s">
        <v>748</v>
      </c>
      <c r="H544" s="54" t="s">
        <v>748</v>
      </c>
      <c r="I544" s="54" t="s">
        <v>748</v>
      </c>
      <c r="J544" s="54" t="s">
        <v>748</v>
      </c>
      <c r="K544" s="59" t="s">
        <v>748</v>
      </c>
      <c r="L544" s="143" t="s">
        <v>748</v>
      </c>
    </row>
    <row r="545" spans="7:12" x14ac:dyDescent="0.2">
      <c r="G545" s="55" t="s">
        <v>38</v>
      </c>
      <c r="H545" s="55" t="s">
        <v>383</v>
      </c>
      <c r="I545" s="55" t="s">
        <v>169</v>
      </c>
      <c r="J545" s="55" t="s">
        <v>749</v>
      </c>
      <c r="K545" s="56" t="s">
        <v>750</v>
      </c>
      <c r="L545" s="140" t="s">
        <v>360</v>
      </c>
    </row>
    <row r="546" spans="7:12" x14ac:dyDescent="0.2">
      <c r="G546" s="55" t="s">
        <v>38</v>
      </c>
      <c r="H546" s="55" t="s">
        <v>751</v>
      </c>
      <c r="I546" s="55" t="s">
        <v>169</v>
      </c>
      <c r="J546" s="55" t="s">
        <v>752</v>
      </c>
      <c r="K546" s="56" t="s">
        <v>753</v>
      </c>
      <c r="L546" s="140" t="s">
        <v>380</v>
      </c>
    </row>
    <row r="547" spans="7:12" x14ac:dyDescent="0.2">
      <c r="G547" s="55" t="s">
        <v>175</v>
      </c>
      <c r="H547" s="55" t="s">
        <v>205</v>
      </c>
      <c r="I547" s="55" t="s">
        <v>155</v>
      </c>
      <c r="J547" s="55" t="s">
        <v>754</v>
      </c>
      <c r="K547" s="56">
        <v>45804</v>
      </c>
      <c r="L547" s="140" t="s">
        <v>398</v>
      </c>
    </row>
    <row r="548" spans="7:12" x14ac:dyDescent="0.2">
      <c r="G548" s="55" t="s">
        <v>161</v>
      </c>
      <c r="H548" s="55" t="s">
        <v>205</v>
      </c>
      <c r="I548" s="55" t="s">
        <v>165</v>
      </c>
      <c r="J548" s="55" t="s">
        <v>220</v>
      </c>
      <c r="K548" s="56" t="s">
        <v>755</v>
      </c>
      <c r="L548" s="140" t="s">
        <v>380</v>
      </c>
    </row>
    <row r="549" spans="7:12" x14ac:dyDescent="0.2">
      <c r="G549" s="55" t="s">
        <v>161</v>
      </c>
      <c r="H549" s="55" t="s">
        <v>230</v>
      </c>
      <c r="I549" s="55" t="s">
        <v>168</v>
      </c>
      <c r="J549" s="55" t="s">
        <v>756</v>
      </c>
      <c r="K549" s="56" t="s">
        <v>757</v>
      </c>
      <c r="L549" s="140" t="s">
        <v>400</v>
      </c>
    </row>
    <row r="550" spans="7:12" x14ac:dyDescent="0.2">
      <c r="G550" s="55" t="s">
        <v>161</v>
      </c>
      <c r="H550" s="55" t="s">
        <v>205</v>
      </c>
      <c r="I550" s="55" t="s">
        <v>640</v>
      </c>
      <c r="J550" s="55" t="s">
        <v>758</v>
      </c>
      <c r="K550" s="56" t="s">
        <v>759</v>
      </c>
      <c r="L550" s="140" t="s">
        <v>380</v>
      </c>
    </row>
    <row r="551" spans="7:12" x14ac:dyDescent="0.2">
      <c r="G551" s="315" t="s">
        <v>720</v>
      </c>
      <c r="H551" s="315" t="s">
        <v>9</v>
      </c>
      <c r="I551" s="315" t="s">
        <v>163</v>
      </c>
      <c r="J551" s="315" t="s">
        <v>698</v>
      </c>
      <c r="K551" s="175" t="s">
        <v>760</v>
      </c>
      <c r="L551" s="317"/>
    </row>
    <row r="552" spans="7:12" x14ac:dyDescent="0.2">
      <c r="G552" s="315" t="s">
        <v>720</v>
      </c>
      <c r="H552" s="315" t="s">
        <v>9</v>
      </c>
      <c r="I552" s="315" t="s">
        <v>165</v>
      </c>
      <c r="J552" s="315" t="s">
        <v>698</v>
      </c>
      <c r="K552" s="175" t="s">
        <v>761</v>
      </c>
      <c r="L552" s="317"/>
    </row>
    <row r="553" spans="7:12" x14ac:dyDescent="0.2">
      <c r="G553" s="315" t="s">
        <v>720</v>
      </c>
      <c r="H553" s="315" t="s">
        <v>9</v>
      </c>
      <c r="I553" s="315" t="s">
        <v>697</v>
      </c>
      <c r="J553" s="315" t="s">
        <v>698</v>
      </c>
      <c r="K553" s="175" t="s">
        <v>762</v>
      </c>
      <c r="L553" s="317"/>
    </row>
    <row r="554" spans="7:12" x14ac:dyDescent="0.2">
      <c r="G554" s="315" t="s">
        <v>720</v>
      </c>
      <c r="H554" s="315" t="s">
        <v>9</v>
      </c>
      <c r="I554" s="315" t="s">
        <v>643</v>
      </c>
      <c r="J554" s="315" t="s">
        <v>698</v>
      </c>
      <c r="K554" s="175" t="s">
        <v>762</v>
      </c>
      <c r="L554" s="317"/>
    </row>
    <row r="555" spans="7:12" x14ac:dyDescent="0.2">
      <c r="G555" s="315" t="s">
        <v>720</v>
      </c>
      <c r="H555" s="315" t="s">
        <v>9</v>
      </c>
      <c r="I555" s="315" t="s">
        <v>608</v>
      </c>
      <c r="J555" s="315" t="s">
        <v>698</v>
      </c>
      <c r="K555" s="175" t="s">
        <v>762</v>
      </c>
      <c r="L555" s="317"/>
    </row>
    <row r="556" spans="7:12" x14ac:dyDescent="0.2">
      <c r="G556" s="315" t="s">
        <v>720</v>
      </c>
      <c r="H556" s="315" t="s">
        <v>9</v>
      </c>
      <c r="I556" s="315" t="s">
        <v>56</v>
      </c>
      <c r="J556" s="315" t="s">
        <v>698</v>
      </c>
      <c r="K556" s="175" t="s">
        <v>763</v>
      </c>
      <c r="L556" s="317"/>
    </row>
    <row r="557" spans="7:12" x14ac:dyDescent="0.2">
      <c r="G557" s="315" t="s">
        <v>720</v>
      </c>
      <c r="H557" s="315" t="s">
        <v>9</v>
      </c>
      <c r="I557" s="315" t="s">
        <v>726</v>
      </c>
      <c r="J557" s="315" t="s">
        <v>698</v>
      </c>
      <c r="K557" s="175" t="s">
        <v>763</v>
      </c>
      <c r="L557" s="317"/>
    </row>
    <row r="558" spans="7:12" x14ac:dyDescent="0.2">
      <c r="G558" s="315" t="s">
        <v>720</v>
      </c>
      <c r="H558" s="315" t="s">
        <v>9</v>
      </c>
      <c r="I558" s="315" t="s">
        <v>764</v>
      </c>
      <c r="J558" s="315" t="s">
        <v>698</v>
      </c>
      <c r="K558" s="175" t="s">
        <v>765</v>
      </c>
      <c r="L558" s="317"/>
    </row>
    <row r="559" spans="7:12" x14ac:dyDescent="0.2">
      <c r="G559" s="315" t="s">
        <v>720</v>
      </c>
      <c r="H559" s="315" t="s">
        <v>9</v>
      </c>
      <c r="I559" s="315" t="s">
        <v>162</v>
      </c>
      <c r="J559" s="315" t="s">
        <v>698</v>
      </c>
      <c r="K559" s="175" t="s">
        <v>763</v>
      </c>
      <c r="L559" s="317"/>
    </row>
    <row r="560" spans="7:12" x14ac:dyDescent="0.2">
      <c r="G560" s="54" t="s">
        <v>766</v>
      </c>
      <c r="H560" s="54" t="s">
        <v>766</v>
      </c>
      <c r="I560" s="54" t="s">
        <v>766</v>
      </c>
      <c r="J560" s="54" t="s">
        <v>766</v>
      </c>
      <c r="K560" s="59" t="s">
        <v>766</v>
      </c>
      <c r="L560" s="143" t="s">
        <v>766</v>
      </c>
    </row>
    <row r="561" spans="7:12" x14ac:dyDescent="0.2">
      <c r="G561" s="55" t="s">
        <v>31</v>
      </c>
      <c r="H561" s="55" t="s">
        <v>767</v>
      </c>
      <c r="I561" s="55" t="s">
        <v>373</v>
      </c>
      <c r="J561" s="55" t="s">
        <v>768</v>
      </c>
      <c r="K561" s="56">
        <v>45694</v>
      </c>
      <c r="L561" s="140" t="s">
        <v>380</v>
      </c>
    </row>
    <row r="562" spans="7:12" x14ac:dyDescent="0.2">
      <c r="G562" s="55" t="s">
        <v>31</v>
      </c>
      <c r="H562" s="55" t="s">
        <v>230</v>
      </c>
      <c r="I562" s="55" t="s">
        <v>171</v>
      </c>
      <c r="J562" s="55" t="s">
        <v>769</v>
      </c>
      <c r="K562" s="56">
        <v>45694</v>
      </c>
      <c r="L562" s="140" t="s">
        <v>398</v>
      </c>
    </row>
    <row r="563" spans="7:12" x14ac:dyDescent="0.2">
      <c r="G563" s="55" t="s">
        <v>38</v>
      </c>
      <c r="H563" s="55" t="s">
        <v>205</v>
      </c>
      <c r="I563" s="55" t="s">
        <v>159</v>
      </c>
      <c r="J563" s="55" t="s">
        <v>770</v>
      </c>
      <c r="K563" s="56">
        <v>45722</v>
      </c>
      <c r="L563" s="140" t="s">
        <v>398</v>
      </c>
    </row>
    <row r="564" spans="7:12" x14ac:dyDescent="0.2">
      <c r="G564" s="55" t="s">
        <v>161</v>
      </c>
      <c r="H564" s="55" t="s">
        <v>390</v>
      </c>
      <c r="I564" s="55" t="s">
        <v>170</v>
      </c>
      <c r="J564" s="55" t="s">
        <v>771</v>
      </c>
      <c r="K564" s="56">
        <v>45722</v>
      </c>
      <c r="L564" s="140" t="s">
        <v>398</v>
      </c>
    </row>
    <row r="565" spans="7:12" x14ac:dyDescent="0.2">
      <c r="G565" s="55" t="s">
        <v>38</v>
      </c>
      <c r="H565" s="55" t="s">
        <v>205</v>
      </c>
      <c r="I565" s="55" t="s">
        <v>157</v>
      </c>
      <c r="J565" s="55" t="s">
        <v>772</v>
      </c>
      <c r="K565" s="56">
        <v>45753</v>
      </c>
      <c r="L565" s="140" t="s">
        <v>400</v>
      </c>
    </row>
    <row r="566" spans="7:12" x14ac:dyDescent="0.2">
      <c r="G566" s="55" t="s">
        <v>38</v>
      </c>
      <c r="H566" s="55" t="s">
        <v>192</v>
      </c>
      <c r="I566" s="55" t="s">
        <v>169</v>
      </c>
      <c r="J566" s="55" t="s">
        <v>773</v>
      </c>
      <c r="K566" s="56">
        <v>45783</v>
      </c>
      <c r="L566" s="140" t="s">
        <v>774</v>
      </c>
    </row>
    <row r="567" spans="7:12" x14ac:dyDescent="0.2">
      <c r="G567" s="55" t="s">
        <v>38</v>
      </c>
      <c r="H567" s="55" t="s">
        <v>341</v>
      </c>
      <c r="I567" s="55" t="s">
        <v>169</v>
      </c>
      <c r="J567" s="55" t="s">
        <v>775</v>
      </c>
      <c r="K567" s="56">
        <v>45783</v>
      </c>
      <c r="L567" s="140" t="s">
        <v>380</v>
      </c>
    </row>
    <row r="568" spans="7:12" x14ac:dyDescent="0.2">
      <c r="G568" s="55" t="s">
        <v>38</v>
      </c>
      <c r="H568" s="55" t="s">
        <v>257</v>
      </c>
      <c r="I568" s="55" t="s">
        <v>169</v>
      </c>
      <c r="J568" s="55" t="s">
        <v>776</v>
      </c>
      <c r="K568" s="56">
        <v>45783</v>
      </c>
      <c r="L568" s="140" t="s">
        <v>380</v>
      </c>
    </row>
    <row r="569" spans="7:12" x14ac:dyDescent="0.2">
      <c r="G569" s="315" t="s">
        <v>720</v>
      </c>
      <c r="H569" s="315" t="s">
        <v>656</v>
      </c>
      <c r="I569" s="315" t="s">
        <v>174</v>
      </c>
      <c r="J569" s="315" t="s">
        <v>698</v>
      </c>
      <c r="K569" s="175">
        <v>45722</v>
      </c>
      <c r="L569" s="317"/>
    </row>
    <row r="570" spans="7:12" x14ac:dyDescent="0.2">
      <c r="G570" s="315" t="s">
        <v>720</v>
      </c>
      <c r="H570" s="315" t="s">
        <v>9</v>
      </c>
      <c r="I570" s="315" t="s">
        <v>157</v>
      </c>
      <c r="J570" s="315" t="s">
        <v>698</v>
      </c>
      <c r="K570" s="175">
        <v>45722</v>
      </c>
      <c r="L570" s="317"/>
    </row>
    <row r="571" spans="7:12" x14ac:dyDescent="0.2">
      <c r="G571" s="315" t="s">
        <v>720</v>
      </c>
      <c r="H571" s="315" t="s">
        <v>9</v>
      </c>
      <c r="I571" s="315" t="s">
        <v>169</v>
      </c>
      <c r="J571" s="315" t="s">
        <v>698</v>
      </c>
      <c r="K571" s="175">
        <v>45753</v>
      </c>
      <c r="L571" s="317"/>
    </row>
    <row r="572" spans="7:12" x14ac:dyDescent="0.2">
      <c r="G572" s="315" t="s">
        <v>720</v>
      </c>
      <c r="H572" s="315" t="s">
        <v>9</v>
      </c>
      <c r="I572" s="315" t="s">
        <v>159</v>
      </c>
      <c r="J572" s="315" t="s">
        <v>698</v>
      </c>
      <c r="K572" s="175">
        <v>45753</v>
      </c>
      <c r="L572" s="317"/>
    </row>
    <row r="573" spans="7:12" x14ac:dyDescent="0.2">
      <c r="G573" s="315" t="s">
        <v>720</v>
      </c>
      <c r="H573" s="315" t="s">
        <v>9</v>
      </c>
      <c r="I573" s="315" t="s">
        <v>167</v>
      </c>
      <c r="J573" s="315" t="s">
        <v>698</v>
      </c>
      <c r="K573" s="175">
        <v>45753</v>
      </c>
      <c r="L573" s="317"/>
    </row>
    <row r="574" spans="7:12" x14ac:dyDescent="0.2">
      <c r="G574" s="315" t="s">
        <v>720</v>
      </c>
      <c r="H574" s="315" t="s">
        <v>9</v>
      </c>
      <c r="I574" s="315" t="s">
        <v>155</v>
      </c>
      <c r="J574" s="315" t="s">
        <v>698</v>
      </c>
      <c r="K574" s="175">
        <v>45753</v>
      </c>
      <c r="L574" s="317"/>
    </row>
    <row r="575" spans="7:12" x14ac:dyDescent="0.2">
      <c r="G575" s="315" t="s">
        <v>720</v>
      </c>
      <c r="H575" s="315" t="s">
        <v>9</v>
      </c>
      <c r="I575" s="315" t="s">
        <v>373</v>
      </c>
      <c r="J575" s="315" t="s">
        <v>698</v>
      </c>
      <c r="K575" s="175">
        <v>45753</v>
      </c>
      <c r="L575" s="317"/>
    </row>
    <row r="576" spans="7:12" x14ac:dyDescent="0.2">
      <c r="G576" s="315" t="s">
        <v>720</v>
      </c>
      <c r="H576" s="315" t="s">
        <v>9</v>
      </c>
      <c r="I576" s="315" t="s">
        <v>68</v>
      </c>
      <c r="J576" s="315" t="s">
        <v>698</v>
      </c>
      <c r="K576" s="175">
        <v>45753</v>
      </c>
      <c r="L576" s="317"/>
    </row>
    <row r="577" spans="7:12" x14ac:dyDescent="0.2">
      <c r="G577" s="54" t="s">
        <v>777</v>
      </c>
      <c r="H577" s="54" t="s">
        <v>777</v>
      </c>
      <c r="I577" s="54" t="s">
        <v>777</v>
      </c>
      <c r="J577" s="54" t="s">
        <v>777</v>
      </c>
      <c r="K577" s="59" t="s">
        <v>777</v>
      </c>
      <c r="L577" s="143" t="s">
        <v>777</v>
      </c>
    </row>
    <row r="578" spans="7:12" x14ac:dyDescent="0.2">
      <c r="G578" s="55" t="s">
        <v>31</v>
      </c>
      <c r="H578" s="55" t="s">
        <v>213</v>
      </c>
      <c r="I578" s="55" t="s">
        <v>55</v>
      </c>
      <c r="J578" s="55" t="s">
        <v>778</v>
      </c>
      <c r="K578" s="56">
        <v>45936</v>
      </c>
      <c r="L578" s="140" t="s">
        <v>380</v>
      </c>
    </row>
    <row r="579" spans="7:12" x14ac:dyDescent="0.2">
      <c r="G579" s="55" t="s">
        <v>161</v>
      </c>
      <c r="H579" s="55" t="s">
        <v>205</v>
      </c>
      <c r="I579" s="55" t="s">
        <v>168</v>
      </c>
      <c r="J579" s="55" t="s">
        <v>220</v>
      </c>
      <c r="K579" s="56">
        <v>45967</v>
      </c>
      <c r="L579" s="140" t="s">
        <v>380</v>
      </c>
    </row>
    <row r="580" spans="7:12" x14ac:dyDescent="0.2">
      <c r="G580" s="55" t="s">
        <v>161</v>
      </c>
      <c r="H580" s="55" t="s">
        <v>213</v>
      </c>
      <c r="I580" s="55" t="s">
        <v>170</v>
      </c>
      <c r="J580" s="55" t="s">
        <v>779</v>
      </c>
      <c r="K580" s="56">
        <v>45967</v>
      </c>
      <c r="L580" s="140" t="s">
        <v>360</v>
      </c>
    </row>
    <row r="581" spans="7:12" x14ac:dyDescent="0.2">
      <c r="G581" s="55" t="s">
        <v>175</v>
      </c>
      <c r="H581" s="55" t="s">
        <v>250</v>
      </c>
      <c r="I581" s="55" t="s">
        <v>155</v>
      </c>
      <c r="J581" s="55" t="s">
        <v>780</v>
      </c>
      <c r="K581" s="56">
        <v>45967</v>
      </c>
      <c r="L581" s="140" t="s">
        <v>380</v>
      </c>
    </row>
    <row r="582" spans="7:12" x14ac:dyDescent="0.2">
      <c r="G582" s="55" t="s">
        <v>31</v>
      </c>
      <c r="H582" s="55" t="s">
        <v>205</v>
      </c>
      <c r="I582" s="55" t="s">
        <v>373</v>
      </c>
      <c r="J582" s="55" t="s">
        <v>658</v>
      </c>
      <c r="K582" s="56">
        <v>45997</v>
      </c>
      <c r="L582" s="140" t="s">
        <v>360</v>
      </c>
    </row>
    <row r="583" spans="7:12" x14ac:dyDescent="0.2">
      <c r="G583" s="55" t="s">
        <v>175</v>
      </c>
      <c r="H583" s="55" t="s">
        <v>250</v>
      </c>
      <c r="I583" s="55" t="s">
        <v>155</v>
      </c>
      <c r="J583" s="55" t="s">
        <v>781</v>
      </c>
      <c r="K583" s="56">
        <v>45820</v>
      </c>
      <c r="L583" s="140" t="s">
        <v>380</v>
      </c>
    </row>
    <row r="584" spans="7:12" x14ac:dyDescent="0.2">
      <c r="G584" s="315" t="s">
        <v>720</v>
      </c>
      <c r="H584" s="315" t="s">
        <v>782</v>
      </c>
      <c r="I584" s="315" t="s">
        <v>174</v>
      </c>
      <c r="J584" s="315" t="s">
        <v>698</v>
      </c>
      <c r="K584" s="175">
        <v>45906</v>
      </c>
      <c r="L584" s="317"/>
    </row>
    <row r="585" spans="7:12" x14ac:dyDescent="0.2">
      <c r="G585" s="315" t="s">
        <v>720</v>
      </c>
      <c r="H585" s="315" t="s">
        <v>9</v>
      </c>
      <c r="I585" s="315" t="s">
        <v>163</v>
      </c>
      <c r="J585" s="315" t="s">
        <v>698</v>
      </c>
      <c r="K585" s="175">
        <v>45967</v>
      </c>
      <c r="L585" s="317"/>
    </row>
    <row r="586" spans="7:12" x14ac:dyDescent="0.2">
      <c r="G586" s="315" t="s">
        <v>720</v>
      </c>
      <c r="H586" s="315" t="s">
        <v>9</v>
      </c>
      <c r="I586" s="315" t="s">
        <v>165</v>
      </c>
      <c r="J586" s="315" t="s">
        <v>698</v>
      </c>
      <c r="K586" s="175">
        <v>45967</v>
      </c>
      <c r="L586" s="317"/>
    </row>
    <row r="587" spans="7:12" x14ac:dyDescent="0.2">
      <c r="G587" s="315" t="s">
        <v>720</v>
      </c>
      <c r="H587" s="315" t="s">
        <v>9</v>
      </c>
      <c r="I587" s="315" t="s">
        <v>171</v>
      </c>
      <c r="J587" s="315" t="s">
        <v>698</v>
      </c>
      <c r="K587" s="175">
        <v>45967</v>
      </c>
      <c r="L587" s="317"/>
    </row>
    <row r="588" spans="7:12" x14ac:dyDescent="0.2">
      <c r="G588" s="315" t="s">
        <v>720</v>
      </c>
      <c r="H588" s="315" t="s">
        <v>9</v>
      </c>
      <c r="I588" s="315" t="s">
        <v>643</v>
      </c>
      <c r="J588" s="315" t="s">
        <v>698</v>
      </c>
      <c r="K588" s="175">
        <v>45997</v>
      </c>
      <c r="L588" s="317"/>
    </row>
    <row r="589" spans="7:12" x14ac:dyDescent="0.2">
      <c r="G589" s="315" t="s">
        <v>720</v>
      </c>
      <c r="H589" s="315" t="s">
        <v>9</v>
      </c>
      <c r="I589" s="315" t="s">
        <v>723</v>
      </c>
      <c r="J589" s="315" t="s">
        <v>698</v>
      </c>
      <c r="K589" s="175">
        <v>45997</v>
      </c>
      <c r="L589" s="317"/>
    </row>
    <row r="590" spans="7:12" x14ac:dyDescent="0.2">
      <c r="G590" s="315" t="s">
        <v>720</v>
      </c>
      <c r="H590" s="315" t="s">
        <v>783</v>
      </c>
      <c r="I590" s="315" t="s">
        <v>608</v>
      </c>
      <c r="J590" s="315" t="s">
        <v>698</v>
      </c>
      <c r="K590" s="175">
        <v>45997</v>
      </c>
      <c r="L590" s="317"/>
    </row>
    <row r="591" spans="7:12" x14ac:dyDescent="0.2">
      <c r="G591" s="54" t="s">
        <v>784</v>
      </c>
      <c r="H591" s="54" t="s">
        <v>784</v>
      </c>
      <c r="I591" s="54" t="s">
        <v>784</v>
      </c>
      <c r="J591" s="54" t="s">
        <v>784</v>
      </c>
      <c r="K591" s="59" t="s">
        <v>784</v>
      </c>
      <c r="L591" s="143" t="s">
        <v>784</v>
      </c>
    </row>
    <row r="592" spans="7:12" x14ac:dyDescent="0.2">
      <c r="G592" s="55" t="s">
        <v>31</v>
      </c>
      <c r="H592" s="55" t="s">
        <v>205</v>
      </c>
      <c r="I592" s="55" t="s">
        <v>163</v>
      </c>
      <c r="J592" s="55" t="s">
        <v>785</v>
      </c>
      <c r="K592" s="56" t="s">
        <v>786</v>
      </c>
      <c r="L592" s="140" t="s">
        <v>380</v>
      </c>
    </row>
    <row r="593" spans="7:12" x14ac:dyDescent="0.2">
      <c r="G593" s="55" t="s">
        <v>38</v>
      </c>
      <c r="H593" s="55" t="s">
        <v>192</v>
      </c>
      <c r="I593" s="55" t="s">
        <v>159</v>
      </c>
      <c r="J593" s="55" t="s">
        <v>787</v>
      </c>
      <c r="K593" s="56" t="s">
        <v>786</v>
      </c>
      <c r="L593" s="140" t="s">
        <v>398</v>
      </c>
    </row>
    <row r="594" spans="7:12" x14ac:dyDescent="0.2">
      <c r="G594" s="55" t="s">
        <v>31</v>
      </c>
      <c r="H594" s="55" t="s">
        <v>205</v>
      </c>
      <c r="I594" s="55" t="s">
        <v>55</v>
      </c>
      <c r="J594" s="55" t="s">
        <v>788</v>
      </c>
      <c r="K594" s="56" t="s">
        <v>789</v>
      </c>
      <c r="L594" s="140" t="s">
        <v>380</v>
      </c>
    </row>
    <row r="595" spans="7:12" x14ac:dyDescent="0.2">
      <c r="G595" s="55" t="s">
        <v>38</v>
      </c>
      <c r="H595" s="55" t="s">
        <v>192</v>
      </c>
      <c r="I595" s="55" t="s">
        <v>169</v>
      </c>
      <c r="J595" s="55" t="s">
        <v>790</v>
      </c>
      <c r="K595" s="56" t="s">
        <v>789</v>
      </c>
      <c r="L595" s="140" t="s">
        <v>380</v>
      </c>
    </row>
    <row r="596" spans="7:12" x14ac:dyDescent="0.2">
      <c r="G596" s="55" t="s">
        <v>31</v>
      </c>
      <c r="H596" s="55" t="s">
        <v>205</v>
      </c>
      <c r="I596" s="55" t="s">
        <v>373</v>
      </c>
      <c r="J596" s="55" t="s">
        <v>791</v>
      </c>
      <c r="K596" s="56" t="s">
        <v>789</v>
      </c>
      <c r="L596" s="140" t="s">
        <v>360</v>
      </c>
    </row>
    <row r="597" spans="7:12" x14ac:dyDescent="0.2">
      <c r="G597" s="55" t="s">
        <v>31</v>
      </c>
      <c r="H597" s="55" t="s">
        <v>192</v>
      </c>
      <c r="I597" s="55" t="s">
        <v>162</v>
      </c>
      <c r="J597" s="55" t="s">
        <v>792</v>
      </c>
      <c r="K597" s="56" t="s">
        <v>789</v>
      </c>
      <c r="L597" s="140" t="s">
        <v>793</v>
      </c>
    </row>
    <row r="598" spans="7:12" x14ac:dyDescent="0.2">
      <c r="G598" s="55" t="s">
        <v>161</v>
      </c>
      <c r="H598" s="55" t="s">
        <v>230</v>
      </c>
      <c r="I598" s="55" t="s">
        <v>173</v>
      </c>
      <c r="J598" s="55" t="s">
        <v>794</v>
      </c>
      <c r="K598" s="56" t="s">
        <v>786</v>
      </c>
      <c r="L598" s="140" t="s">
        <v>400</v>
      </c>
    </row>
    <row r="599" spans="7:12" x14ac:dyDescent="0.2">
      <c r="G599" s="55" t="s">
        <v>175</v>
      </c>
      <c r="H599" s="55" t="s">
        <v>230</v>
      </c>
      <c r="I599" s="55" t="s">
        <v>56</v>
      </c>
      <c r="J599" s="55" t="s">
        <v>795</v>
      </c>
      <c r="K599" s="56">
        <v>45826</v>
      </c>
      <c r="L599" s="140" t="s">
        <v>380</v>
      </c>
    </row>
    <row r="600" spans="7:12" x14ac:dyDescent="0.2">
      <c r="G600" s="315" t="s">
        <v>720</v>
      </c>
      <c r="H600" s="315" t="s">
        <v>656</v>
      </c>
      <c r="I600" s="315" t="s">
        <v>176</v>
      </c>
      <c r="J600" s="315" t="s">
        <v>698</v>
      </c>
      <c r="K600" s="175" t="s">
        <v>796</v>
      </c>
      <c r="L600" s="317"/>
    </row>
    <row r="601" spans="7:12" x14ac:dyDescent="0.2">
      <c r="G601" s="315" t="s">
        <v>720</v>
      </c>
      <c r="H601" s="315" t="s">
        <v>9</v>
      </c>
      <c r="I601" s="315" t="s">
        <v>68</v>
      </c>
      <c r="J601" s="315" t="s">
        <v>698</v>
      </c>
      <c r="K601" s="175" t="s">
        <v>797</v>
      </c>
      <c r="L601" s="317"/>
    </row>
    <row r="602" spans="7:12" x14ac:dyDescent="0.2">
      <c r="G602" s="54" t="s">
        <v>798</v>
      </c>
      <c r="H602" s="54" t="s">
        <v>798</v>
      </c>
      <c r="I602" s="54" t="s">
        <v>798</v>
      </c>
      <c r="J602" s="54" t="s">
        <v>798</v>
      </c>
      <c r="K602" s="59" t="s">
        <v>798</v>
      </c>
      <c r="L602" s="143" t="s">
        <v>798</v>
      </c>
    </row>
    <row r="603" spans="7:12" x14ac:dyDescent="0.2">
      <c r="G603" s="55" t="s">
        <v>31</v>
      </c>
      <c r="H603" s="55" t="s">
        <v>205</v>
      </c>
      <c r="I603" s="55" t="s">
        <v>373</v>
      </c>
      <c r="J603" s="55" t="s">
        <v>799</v>
      </c>
      <c r="K603" s="56" t="s">
        <v>800</v>
      </c>
      <c r="L603" s="140" t="s">
        <v>380</v>
      </c>
    </row>
    <row r="604" spans="7:12" x14ac:dyDescent="0.2">
      <c r="G604" s="55" t="s">
        <v>31</v>
      </c>
      <c r="H604" s="55" t="s">
        <v>205</v>
      </c>
      <c r="I604" s="55" t="s">
        <v>163</v>
      </c>
      <c r="J604" s="55" t="s">
        <v>799</v>
      </c>
      <c r="K604" s="56" t="s">
        <v>800</v>
      </c>
      <c r="L604" s="140" t="s">
        <v>380</v>
      </c>
    </row>
    <row r="605" spans="7:12" x14ac:dyDescent="0.2">
      <c r="G605" s="55" t="s">
        <v>38</v>
      </c>
      <c r="H605" s="55" t="s">
        <v>202</v>
      </c>
      <c r="I605" s="55" t="s">
        <v>167</v>
      </c>
      <c r="J605" s="55" t="s">
        <v>801</v>
      </c>
      <c r="K605" s="56" t="s">
        <v>802</v>
      </c>
      <c r="L605" s="140" t="s">
        <v>360</v>
      </c>
    </row>
    <row r="606" spans="7:12" x14ac:dyDescent="0.2">
      <c r="G606" s="55" t="s">
        <v>31</v>
      </c>
      <c r="H606" s="55" t="s">
        <v>205</v>
      </c>
      <c r="I606" s="55" t="s">
        <v>55</v>
      </c>
      <c r="J606" s="55" t="s">
        <v>803</v>
      </c>
      <c r="K606" s="56" t="s">
        <v>804</v>
      </c>
      <c r="L606" s="140" t="s">
        <v>398</v>
      </c>
    </row>
    <row r="607" spans="7:12" x14ac:dyDescent="0.2">
      <c r="G607" s="55" t="s">
        <v>31</v>
      </c>
      <c r="H607" s="55" t="s">
        <v>205</v>
      </c>
      <c r="I607" s="55" t="s">
        <v>171</v>
      </c>
      <c r="J607" s="55" t="s">
        <v>803</v>
      </c>
      <c r="K607" s="56" t="s">
        <v>804</v>
      </c>
      <c r="L607" s="140" t="s">
        <v>380</v>
      </c>
    </row>
    <row r="608" spans="7:12" x14ac:dyDescent="0.2">
      <c r="G608" s="55" t="s">
        <v>38</v>
      </c>
      <c r="H608" s="55" t="s">
        <v>286</v>
      </c>
      <c r="I608" s="55" t="s">
        <v>167</v>
      </c>
      <c r="J608" s="55" t="s">
        <v>805</v>
      </c>
      <c r="K608" s="56" t="s">
        <v>804</v>
      </c>
      <c r="L608" s="140" t="s">
        <v>360</v>
      </c>
    </row>
    <row r="609" spans="7:12" x14ac:dyDescent="0.2">
      <c r="G609" s="55" t="s">
        <v>161</v>
      </c>
      <c r="H609" s="55" t="s">
        <v>390</v>
      </c>
      <c r="I609" s="55" t="s">
        <v>168</v>
      </c>
      <c r="J609" s="55" t="s">
        <v>806</v>
      </c>
      <c r="K609" s="56" t="s">
        <v>804</v>
      </c>
      <c r="L609" s="140" t="s">
        <v>380</v>
      </c>
    </row>
    <row r="610" spans="7:12" x14ac:dyDescent="0.2">
      <c r="G610" s="55" t="s">
        <v>38</v>
      </c>
      <c r="H610" s="55" t="s">
        <v>230</v>
      </c>
      <c r="I610" s="55" t="s">
        <v>167</v>
      </c>
      <c r="J610" s="324" t="s">
        <v>807</v>
      </c>
      <c r="K610" s="56" t="s">
        <v>804</v>
      </c>
      <c r="L610" s="140" t="s">
        <v>360</v>
      </c>
    </row>
    <row r="611" spans="7:12" x14ac:dyDescent="0.2">
      <c r="G611" s="55" t="s">
        <v>38</v>
      </c>
      <c r="H611" s="55" t="s">
        <v>383</v>
      </c>
      <c r="I611" s="55" t="s">
        <v>643</v>
      </c>
      <c r="J611" s="55" t="s">
        <v>808</v>
      </c>
      <c r="K611" s="56" t="s">
        <v>809</v>
      </c>
      <c r="L611" s="140" t="s">
        <v>380</v>
      </c>
    </row>
    <row r="612" spans="7:12" x14ac:dyDescent="0.2">
      <c r="G612" s="55" t="s">
        <v>161</v>
      </c>
      <c r="H612" s="55" t="s">
        <v>205</v>
      </c>
      <c r="I612" s="55" t="s">
        <v>170</v>
      </c>
      <c r="J612" s="55" t="s">
        <v>810</v>
      </c>
      <c r="K612" s="56" t="s">
        <v>811</v>
      </c>
      <c r="L612" s="140" t="s">
        <v>398</v>
      </c>
    </row>
    <row r="613" spans="7:12" x14ac:dyDescent="0.2">
      <c r="G613" s="323" t="s">
        <v>720</v>
      </c>
      <c r="H613" s="323" t="s">
        <v>9</v>
      </c>
      <c r="I613" s="323" t="s">
        <v>174</v>
      </c>
      <c r="J613" s="323" t="s">
        <v>698</v>
      </c>
      <c r="K613" s="325" t="s">
        <v>812</v>
      </c>
      <c r="L613" s="326"/>
    </row>
    <row r="614" spans="7:12" x14ac:dyDescent="0.2">
      <c r="G614" s="323" t="s">
        <v>720</v>
      </c>
      <c r="H614" s="323" t="s">
        <v>813</v>
      </c>
      <c r="I614" s="323" t="s">
        <v>159</v>
      </c>
      <c r="J614" s="323" t="s">
        <v>698</v>
      </c>
      <c r="K614" s="325" t="s">
        <v>812</v>
      </c>
      <c r="L614" s="326"/>
    </row>
    <row r="615" spans="7:12" x14ac:dyDescent="0.2">
      <c r="G615" s="315" t="s">
        <v>720</v>
      </c>
      <c r="H615" s="315" t="s">
        <v>782</v>
      </c>
      <c r="I615" s="315" t="s">
        <v>176</v>
      </c>
      <c r="J615" s="315" t="s">
        <v>698</v>
      </c>
      <c r="K615" s="175" t="s">
        <v>814</v>
      </c>
      <c r="L615" s="317"/>
    </row>
    <row r="616" spans="7:12" x14ac:dyDescent="0.2">
      <c r="G616" s="315" t="s">
        <v>720</v>
      </c>
      <c r="H616" s="315" t="s">
        <v>9</v>
      </c>
      <c r="I616" s="315" t="s">
        <v>162</v>
      </c>
      <c r="J616" s="315" t="s">
        <v>698</v>
      </c>
      <c r="K616" s="175" t="s">
        <v>814</v>
      </c>
      <c r="L616" s="317"/>
    </row>
    <row r="617" spans="7:12" x14ac:dyDescent="0.2">
      <c r="G617" s="315" t="s">
        <v>720</v>
      </c>
      <c r="H617" s="315" t="s">
        <v>9</v>
      </c>
      <c r="I617" s="315" t="s">
        <v>163</v>
      </c>
      <c r="J617" s="315" t="s">
        <v>698</v>
      </c>
      <c r="K617" s="175" t="s">
        <v>814</v>
      </c>
      <c r="L617" s="317"/>
    </row>
    <row r="618" spans="7:12" x14ac:dyDescent="0.2">
      <c r="G618" s="315" t="s">
        <v>720</v>
      </c>
      <c r="H618" s="315" t="s">
        <v>9</v>
      </c>
      <c r="I618" s="315" t="s">
        <v>165</v>
      </c>
      <c r="J618" s="315" t="s">
        <v>698</v>
      </c>
      <c r="K618" s="175" t="s">
        <v>814</v>
      </c>
      <c r="L618" s="317"/>
    </row>
    <row r="619" spans="7:12" x14ac:dyDescent="0.2">
      <c r="G619" s="315" t="s">
        <v>720</v>
      </c>
      <c r="H619" s="315" t="s">
        <v>9</v>
      </c>
      <c r="I619" s="315" t="s">
        <v>643</v>
      </c>
      <c r="J619" s="315" t="s">
        <v>698</v>
      </c>
      <c r="K619" s="175" t="s">
        <v>809</v>
      </c>
      <c r="L619" s="317"/>
    </row>
    <row r="620" spans="7:12" x14ac:dyDescent="0.2">
      <c r="G620" s="315" t="s">
        <v>720</v>
      </c>
      <c r="H620" s="315" t="s">
        <v>9</v>
      </c>
      <c r="I620" s="315" t="s">
        <v>167</v>
      </c>
      <c r="J620" s="315" t="s">
        <v>698</v>
      </c>
      <c r="K620" s="175" t="s">
        <v>809</v>
      </c>
      <c r="L620" s="317"/>
    </row>
    <row r="621" spans="7:12" x14ac:dyDescent="0.2">
      <c r="G621" s="315" t="s">
        <v>720</v>
      </c>
      <c r="H621" s="315" t="s">
        <v>9</v>
      </c>
      <c r="I621" s="315" t="s">
        <v>155</v>
      </c>
      <c r="J621" s="315" t="s">
        <v>698</v>
      </c>
      <c r="K621" s="175" t="s">
        <v>809</v>
      </c>
      <c r="L621" s="317"/>
    </row>
    <row r="622" spans="7:12" x14ac:dyDescent="0.2">
      <c r="G622" s="315" t="s">
        <v>720</v>
      </c>
      <c r="H622" s="315" t="s">
        <v>9</v>
      </c>
      <c r="I622" s="315" t="s">
        <v>169</v>
      </c>
      <c r="J622" s="315" t="s">
        <v>698</v>
      </c>
      <c r="K622" s="175" t="s">
        <v>809</v>
      </c>
      <c r="L622" s="317"/>
    </row>
    <row r="623" spans="7:12" x14ac:dyDescent="0.2">
      <c r="G623" s="315" t="s">
        <v>720</v>
      </c>
      <c r="H623" s="315" t="s">
        <v>9</v>
      </c>
      <c r="I623" s="315" t="s">
        <v>170</v>
      </c>
      <c r="J623" s="315" t="s">
        <v>698</v>
      </c>
      <c r="K623" s="175" t="s">
        <v>815</v>
      </c>
      <c r="L623" s="317"/>
    </row>
    <row r="624" spans="7:12" x14ac:dyDescent="0.2">
      <c r="G624" s="54" t="s">
        <v>816</v>
      </c>
      <c r="H624" s="54" t="s">
        <v>816</v>
      </c>
      <c r="I624" s="54" t="s">
        <v>816</v>
      </c>
      <c r="J624" s="54" t="s">
        <v>816</v>
      </c>
      <c r="K624" s="59" t="s">
        <v>816</v>
      </c>
      <c r="L624" s="143" t="s">
        <v>816</v>
      </c>
    </row>
    <row r="625" spans="7:12" x14ac:dyDescent="0.2">
      <c r="G625" s="55" t="s">
        <v>38</v>
      </c>
      <c r="H625" s="55" t="s">
        <v>250</v>
      </c>
      <c r="I625" s="55" t="s">
        <v>169</v>
      </c>
      <c r="J625" s="55" t="s">
        <v>817</v>
      </c>
      <c r="K625" s="56">
        <v>45664</v>
      </c>
      <c r="L625" s="140" t="s">
        <v>380</v>
      </c>
    </row>
    <row r="626" spans="7:12" x14ac:dyDescent="0.2">
      <c r="G626" s="55" t="s">
        <v>38</v>
      </c>
      <c r="H626" s="55" t="s">
        <v>257</v>
      </c>
      <c r="I626" s="55" t="s">
        <v>643</v>
      </c>
      <c r="J626" s="55" t="s">
        <v>818</v>
      </c>
      <c r="K626" s="56">
        <v>45695</v>
      </c>
      <c r="L626" s="140" t="s">
        <v>398</v>
      </c>
    </row>
    <row r="627" spans="7:12" x14ac:dyDescent="0.2">
      <c r="G627" s="55" t="s">
        <v>161</v>
      </c>
      <c r="H627" s="55" t="s">
        <v>230</v>
      </c>
      <c r="I627" s="55" t="s">
        <v>165</v>
      </c>
      <c r="J627" s="55" t="s">
        <v>819</v>
      </c>
      <c r="K627" s="56">
        <v>45695</v>
      </c>
      <c r="L627" s="140" t="s">
        <v>380</v>
      </c>
    </row>
    <row r="628" spans="7:12" x14ac:dyDescent="0.2">
      <c r="G628" s="55" t="s">
        <v>38</v>
      </c>
      <c r="H628" s="55" t="s">
        <v>257</v>
      </c>
      <c r="I628" s="55" t="s">
        <v>63</v>
      </c>
      <c r="J628" s="55" t="s">
        <v>820</v>
      </c>
      <c r="K628" s="56">
        <v>45695</v>
      </c>
      <c r="L628" s="140" t="s">
        <v>380</v>
      </c>
    </row>
    <row r="629" spans="7:12" x14ac:dyDescent="0.2">
      <c r="G629" s="315" t="s">
        <v>720</v>
      </c>
      <c r="H629" s="315" t="s">
        <v>656</v>
      </c>
      <c r="I629" s="315" t="s">
        <v>177</v>
      </c>
      <c r="J629" s="315" t="s">
        <v>698</v>
      </c>
      <c r="K629" s="175">
        <v>45664</v>
      </c>
      <c r="L629" s="317"/>
    </row>
    <row r="630" spans="7:12" x14ac:dyDescent="0.2">
      <c r="G630" s="315" t="s">
        <v>720</v>
      </c>
      <c r="H630" s="315" t="s">
        <v>9</v>
      </c>
      <c r="I630" s="315" t="s">
        <v>157</v>
      </c>
      <c r="J630" s="315" t="s">
        <v>698</v>
      </c>
      <c r="K630" s="175">
        <v>45695</v>
      </c>
      <c r="L630" s="317"/>
    </row>
    <row r="631" spans="7:12" x14ac:dyDescent="0.2">
      <c r="G631" s="315" t="s">
        <v>720</v>
      </c>
      <c r="H631" s="315" t="s">
        <v>9</v>
      </c>
      <c r="I631" s="315" t="s">
        <v>159</v>
      </c>
      <c r="J631" s="315" t="s">
        <v>698</v>
      </c>
      <c r="K631" s="175">
        <v>45695</v>
      </c>
      <c r="L631" s="317"/>
    </row>
    <row r="632" spans="7:12" x14ac:dyDescent="0.2">
      <c r="G632" s="315" t="s">
        <v>720</v>
      </c>
      <c r="H632" s="315" t="s">
        <v>813</v>
      </c>
      <c r="I632" s="315" t="s">
        <v>697</v>
      </c>
      <c r="J632" s="315" t="s">
        <v>698</v>
      </c>
      <c r="K632" s="175">
        <v>45723</v>
      </c>
      <c r="L632" s="317"/>
    </row>
    <row r="633" spans="7:12" x14ac:dyDescent="0.2">
      <c r="G633" s="315" t="s">
        <v>720</v>
      </c>
      <c r="H633" s="315" t="s">
        <v>656</v>
      </c>
      <c r="I633" s="315" t="s">
        <v>179</v>
      </c>
      <c r="J633" s="315" t="s">
        <v>698</v>
      </c>
      <c r="K633" s="175">
        <v>45723</v>
      </c>
      <c r="L633" s="317"/>
    </row>
    <row r="634" spans="7:12" x14ac:dyDescent="0.2">
      <c r="G634" s="54" t="s">
        <v>821</v>
      </c>
      <c r="H634" s="54" t="s">
        <v>821</v>
      </c>
      <c r="I634" s="54" t="s">
        <v>821</v>
      </c>
      <c r="J634" s="54" t="s">
        <v>821</v>
      </c>
      <c r="K634" s="59" t="s">
        <v>821</v>
      </c>
      <c r="L634" s="143" t="s">
        <v>821</v>
      </c>
    </row>
    <row r="635" spans="7:12" x14ac:dyDescent="0.2">
      <c r="G635" s="55" t="s">
        <v>31</v>
      </c>
      <c r="H635" s="55" t="s">
        <v>230</v>
      </c>
      <c r="I635" s="55" t="s">
        <v>171</v>
      </c>
      <c r="J635" s="55" t="s">
        <v>822</v>
      </c>
      <c r="K635" s="56">
        <v>45845</v>
      </c>
      <c r="L635" s="140" t="s">
        <v>442</v>
      </c>
    </row>
    <row r="636" spans="7:12" x14ac:dyDescent="0.2">
      <c r="G636" s="55" t="s">
        <v>175</v>
      </c>
      <c r="H636" s="55" t="s">
        <v>213</v>
      </c>
      <c r="I636" s="55" t="s">
        <v>56</v>
      </c>
      <c r="J636" s="55" t="s">
        <v>823</v>
      </c>
      <c r="K636" s="56">
        <v>45845</v>
      </c>
      <c r="L636" s="140" t="s">
        <v>398</v>
      </c>
    </row>
    <row r="637" spans="7:12" x14ac:dyDescent="0.2">
      <c r="G637" s="55" t="s">
        <v>31</v>
      </c>
      <c r="H637" s="55" t="s">
        <v>286</v>
      </c>
      <c r="I637" s="55" t="s">
        <v>55</v>
      </c>
      <c r="J637" s="55" t="s">
        <v>824</v>
      </c>
      <c r="K637" s="56">
        <v>45876</v>
      </c>
      <c r="L637" s="140" t="s">
        <v>380</v>
      </c>
    </row>
    <row r="638" spans="7:12" x14ac:dyDescent="0.2">
      <c r="G638" s="55" t="s">
        <v>38</v>
      </c>
      <c r="H638" s="55" t="s">
        <v>257</v>
      </c>
      <c r="I638" s="55" t="s">
        <v>159</v>
      </c>
      <c r="J638" s="55" t="s">
        <v>825</v>
      </c>
      <c r="K638" s="56">
        <v>45876</v>
      </c>
      <c r="L638" s="140" t="s">
        <v>398</v>
      </c>
    </row>
    <row r="639" spans="7:12" x14ac:dyDescent="0.2">
      <c r="G639" s="55" t="s">
        <v>38</v>
      </c>
      <c r="H639" s="55" t="s">
        <v>390</v>
      </c>
      <c r="I639" s="55" t="s">
        <v>826</v>
      </c>
      <c r="J639" s="55" t="s">
        <v>827</v>
      </c>
      <c r="K639" s="56">
        <v>45907</v>
      </c>
      <c r="L639" s="140" t="s">
        <v>400</v>
      </c>
    </row>
    <row r="640" spans="7:12" x14ac:dyDescent="0.2">
      <c r="G640" s="55" t="s">
        <v>161</v>
      </c>
      <c r="H640" s="55" t="s">
        <v>205</v>
      </c>
      <c r="I640" s="55" t="s">
        <v>176</v>
      </c>
      <c r="J640" s="55" t="s">
        <v>828</v>
      </c>
      <c r="K640" s="56">
        <v>45937</v>
      </c>
      <c r="L640" s="140" t="s">
        <v>360</v>
      </c>
    </row>
    <row r="641" spans="7:12" x14ac:dyDescent="0.2">
      <c r="G641" s="55" t="s">
        <v>38</v>
      </c>
      <c r="H641" s="55" t="s">
        <v>341</v>
      </c>
      <c r="I641" s="55" t="s">
        <v>643</v>
      </c>
      <c r="J641" s="55" t="s">
        <v>829</v>
      </c>
      <c r="K641" s="56">
        <v>45937</v>
      </c>
      <c r="L641" s="140" t="s">
        <v>380</v>
      </c>
    </row>
    <row r="642" spans="7:12" x14ac:dyDescent="0.2">
      <c r="G642" s="315" t="s">
        <v>720</v>
      </c>
      <c r="H642" s="315" t="s">
        <v>656</v>
      </c>
      <c r="I642" s="315" t="s">
        <v>830</v>
      </c>
      <c r="J642" s="315" t="s">
        <v>698</v>
      </c>
      <c r="K642" s="175">
        <v>45845</v>
      </c>
      <c r="L642" s="317"/>
    </row>
    <row r="643" spans="7:12" x14ac:dyDescent="0.2">
      <c r="G643" s="315" t="s">
        <v>720</v>
      </c>
      <c r="H643" s="315" t="s">
        <v>9</v>
      </c>
      <c r="I643" s="315" t="s">
        <v>174</v>
      </c>
      <c r="J643" s="315" t="s">
        <v>698</v>
      </c>
      <c r="K643" s="175">
        <v>45876</v>
      </c>
      <c r="L643" s="317"/>
    </row>
    <row r="644" spans="7:12" x14ac:dyDescent="0.2">
      <c r="G644" s="315" t="s">
        <v>720</v>
      </c>
      <c r="H644" s="315" t="s">
        <v>9</v>
      </c>
      <c r="I644" s="315" t="s">
        <v>163</v>
      </c>
      <c r="J644" s="315" t="s">
        <v>698</v>
      </c>
      <c r="K644" s="175">
        <v>45876</v>
      </c>
      <c r="L644" s="317"/>
    </row>
    <row r="645" spans="7:12" x14ac:dyDescent="0.2">
      <c r="G645" s="315" t="s">
        <v>720</v>
      </c>
      <c r="H645" s="315" t="s">
        <v>9</v>
      </c>
      <c r="I645" s="315" t="s">
        <v>165</v>
      </c>
      <c r="J645" s="315" t="s">
        <v>698</v>
      </c>
      <c r="K645" s="175">
        <v>45876</v>
      </c>
      <c r="L645" s="317"/>
    </row>
    <row r="646" spans="7:12" x14ac:dyDescent="0.2">
      <c r="G646" s="315" t="s">
        <v>720</v>
      </c>
      <c r="H646" s="315" t="s">
        <v>782</v>
      </c>
      <c r="I646" s="315" t="s">
        <v>177</v>
      </c>
      <c r="J646" s="315" t="s">
        <v>698</v>
      </c>
      <c r="K646" s="175">
        <v>45876</v>
      </c>
      <c r="L646" s="317"/>
    </row>
    <row r="647" spans="7:12" x14ac:dyDescent="0.2">
      <c r="G647" s="315" t="s">
        <v>720</v>
      </c>
      <c r="H647" s="315" t="s">
        <v>9</v>
      </c>
      <c r="I647" s="315" t="s">
        <v>643</v>
      </c>
      <c r="J647" s="315" t="s">
        <v>698</v>
      </c>
      <c r="K647" s="175">
        <v>45937</v>
      </c>
      <c r="L647" s="317"/>
    </row>
    <row r="648" spans="7:12" x14ac:dyDescent="0.2">
      <c r="G648" s="315" t="s">
        <v>720</v>
      </c>
      <c r="H648" s="315" t="s">
        <v>9</v>
      </c>
      <c r="I648" s="315" t="s">
        <v>171</v>
      </c>
      <c r="J648" s="315" t="s">
        <v>698</v>
      </c>
      <c r="K648" s="175">
        <v>45937</v>
      </c>
      <c r="L648" s="317"/>
    </row>
    <row r="649" spans="7:12" x14ac:dyDescent="0.2">
      <c r="G649" s="315" t="s">
        <v>720</v>
      </c>
      <c r="H649" s="315" t="s">
        <v>9</v>
      </c>
      <c r="I649" s="315" t="s">
        <v>155</v>
      </c>
      <c r="J649" s="315" t="s">
        <v>698</v>
      </c>
      <c r="K649" s="175">
        <v>45937</v>
      </c>
      <c r="L649" s="317"/>
    </row>
    <row r="650" spans="7:12" x14ac:dyDescent="0.2">
      <c r="G650" s="315" t="s">
        <v>720</v>
      </c>
      <c r="H650" s="315" t="s">
        <v>9</v>
      </c>
      <c r="I650" s="315" t="s">
        <v>162</v>
      </c>
      <c r="J650" s="315" t="s">
        <v>698</v>
      </c>
      <c r="K650" s="175">
        <v>45937</v>
      </c>
      <c r="L650" s="317"/>
    </row>
    <row r="651" spans="7:12" x14ac:dyDescent="0.2">
      <c r="G651" s="315" t="s">
        <v>720</v>
      </c>
      <c r="H651" s="315" t="s">
        <v>9</v>
      </c>
      <c r="I651" s="315" t="s">
        <v>723</v>
      </c>
      <c r="J651" s="315" t="s">
        <v>698</v>
      </c>
      <c r="K651" s="175">
        <v>45968</v>
      </c>
      <c r="L651" s="317"/>
    </row>
    <row r="652" spans="7:12" x14ac:dyDescent="0.2">
      <c r="G652" s="315" t="s">
        <v>720</v>
      </c>
      <c r="H652" s="315" t="s">
        <v>9</v>
      </c>
      <c r="I652" s="315" t="s">
        <v>373</v>
      </c>
      <c r="J652" s="315" t="s">
        <v>698</v>
      </c>
      <c r="K652" s="175">
        <v>45968</v>
      </c>
      <c r="L652" s="317"/>
    </row>
    <row r="653" spans="7:12" x14ac:dyDescent="0.2">
      <c r="G653" s="315" t="s">
        <v>720</v>
      </c>
      <c r="H653" s="315" t="s">
        <v>9</v>
      </c>
      <c r="I653" s="315" t="s">
        <v>169</v>
      </c>
      <c r="J653" s="315" t="s">
        <v>698</v>
      </c>
      <c r="K653" s="175">
        <v>45968</v>
      </c>
      <c r="L653" s="317"/>
    </row>
    <row r="654" spans="7:12" x14ac:dyDescent="0.2">
      <c r="G654" s="321" t="s">
        <v>831</v>
      </c>
      <c r="H654" s="321" t="s">
        <v>831</v>
      </c>
      <c r="I654" s="321" t="s">
        <v>831</v>
      </c>
      <c r="J654" s="321" t="s">
        <v>831</v>
      </c>
      <c r="K654" s="335" t="s">
        <v>831</v>
      </c>
      <c r="L654" s="321" t="s">
        <v>831</v>
      </c>
    </row>
    <row r="655" spans="7:12" x14ac:dyDescent="0.2">
      <c r="G655" s="55" t="s">
        <v>38</v>
      </c>
      <c r="H655" s="55" t="s">
        <v>257</v>
      </c>
      <c r="I655" s="55" t="s">
        <v>159</v>
      </c>
      <c r="J655" s="55" t="s">
        <v>832</v>
      </c>
      <c r="K655" s="56" t="s">
        <v>833</v>
      </c>
      <c r="L655" s="140" t="s">
        <v>398</v>
      </c>
    </row>
    <row r="656" spans="7:12" x14ac:dyDescent="0.2">
      <c r="G656" s="55" t="s">
        <v>175</v>
      </c>
      <c r="H656" s="55" t="s">
        <v>230</v>
      </c>
      <c r="I656" s="55" t="s">
        <v>155</v>
      </c>
      <c r="J656" s="55" t="s">
        <v>834</v>
      </c>
      <c r="K656" s="56">
        <v>45853</v>
      </c>
      <c r="L656" s="140" t="s">
        <v>398</v>
      </c>
    </row>
    <row r="657" spans="7:12" x14ac:dyDescent="0.2">
      <c r="G657" s="55" t="s">
        <v>38</v>
      </c>
      <c r="H657" s="55" t="s">
        <v>192</v>
      </c>
      <c r="I657" s="55" t="s">
        <v>169</v>
      </c>
      <c r="J657" s="55" t="s">
        <v>835</v>
      </c>
      <c r="K657" s="56" t="s">
        <v>836</v>
      </c>
      <c r="L657" s="140" t="s">
        <v>774</v>
      </c>
    </row>
    <row r="658" spans="7:12" x14ac:dyDescent="0.2">
      <c r="G658" s="55" t="s">
        <v>161</v>
      </c>
      <c r="H658" s="55" t="s">
        <v>230</v>
      </c>
      <c r="I658" s="55" t="s">
        <v>165</v>
      </c>
      <c r="J658" s="55" t="s">
        <v>819</v>
      </c>
      <c r="K658" s="56" t="s">
        <v>837</v>
      </c>
      <c r="L658" s="140" t="s">
        <v>360</v>
      </c>
    </row>
    <row r="659" spans="7:12" x14ac:dyDescent="0.2">
      <c r="G659" s="315" t="s">
        <v>720</v>
      </c>
      <c r="H659" s="315" t="s">
        <v>656</v>
      </c>
      <c r="I659" s="315" t="s">
        <v>838</v>
      </c>
      <c r="J659" s="315" t="s">
        <v>698</v>
      </c>
      <c r="K659" s="336" t="s">
        <v>839</v>
      </c>
      <c r="L659" s="317"/>
    </row>
    <row r="660" spans="7:12" x14ac:dyDescent="0.2">
      <c r="G660" s="315" t="s">
        <v>720</v>
      </c>
      <c r="H660" s="315" t="s">
        <v>782</v>
      </c>
      <c r="I660" s="315" t="s">
        <v>840</v>
      </c>
      <c r="J660" s="315" t="s">
        <v>698</v>
      </c>
      <c r="K660" s="175" t="s">
        <v>833</v>
      </c>
      <c r="L660" s="317"/>
    </row>
    <row r="661" spans="7:12" x14ac:dyDescent="0.2">
      <c r="G661" s="315" t="s">
        <v>720</v>
      </c>
      <c r="H661" s="315" t="s">
        <v>9</v>
      </c>
      <c r="I661" s="315" t="s">
        <v>157</v>
      </c>
      <c r="J661" s="315" t="s">
        <v>698</v>
      </c>
      <c r="K661" s="175" t="s">
        <v>833</v>
      </c>
      <c r="L661" s="317"/>
    </row>
    <row r="662" spans="7:12" x14ac:dyDescent="0.2">
      <c r="G662" s="315" t="s">
        <v>720</v>
      </c>
      <c r="H662" s="315" t="s">
        <v>782</v>
      </c>
      <c r="I662" s="315" t="s">
        <v>830</v>
      </c>
      <c r="J662" s="315" t="s">
        <v>698</v>
      </c>
      <c r="K662" s="175" t="s">
        <v>841</v>
      </c>
      <c r="L662" s="317"/>
    </row>
    <row r="663" spans="7:12" x14ac:dyDescent="0.2">
      <c r="G663" s="315" t="s">
        <v>720</v>
      </c>
      <c r="H663" s="315" t="s">
        <v>9</v>
      </c>
      <c r="I663" s="315" t="s">
        <v>167</v>
      </c>
      <c r="J663" s="315" t="s">
        <v>698</v>
      </c>
      <c r="K663" s="175" t="s">
        <v>841</v>
      </c>
      <c r="L663" s="317"/>
    </row>
    <row r="664" spans="7:12" x14ac:dyDescent="0.2">
      <c r="G664" s="315" t="s">
        <v>720</v>
      </c>
      <c r="H664" s="315" t="s">
        <v>9</v>
      </c>
      <c r="I664" s="315" t="s">
        <v>159</v>
      </c>
      <c r="J664" s="315" t="s">
        <v>698</v>
      </c>
      <c r="K664" s="175" t="s">
        <v>841</v>
      </c>
      <c r="L664" s="317"/>
    </row>
    <row r="665" spans="7:12" x14ac:dyDescent="0.2">
      <c r="G665" s="315" t="s">
        <v>720</v>
      </c>
      <c r="H665" s="315" t="s">
        <v>813</v>
      </c>
      <c r="I665" s="315" t="s">
        <v>176</v>
      </c>
      <c r="J665" s="315" t="s">
        <v>698</v>
      </c>
      <c r="K665" s="175" t="s">
        <v>842</v>
      </c>
      <c r="L665" s="317"/>
    </row>
    <row r="666" spans="7:12" x14ac:dyDescent="0.2">
      <c r="G666" s="54" t="s">
        <v>843</v>
      </c>
      <c r="H666" s="54"/>
      <c r="I666" s="54"/>
      <c r="J666" s="54"/>
      <c r="K666" s="59"/>
      <c r="L666" s="143"/>
    </row>
    <row r="667" spans="7:12" x14ac:dyDescent="0.2">
      <c r="G667" s="55" t="s">
        <v>175</v>
      </c>
      <c r="H667" s="55" t="s">
        <v>293</v>
      </c>
      <c r="I667" s="55" t="s">
        <v>155</v>
      </c>
      <c r="J667" s="55" t="s">
        <v>844</v>
      </c>
      <c r="K667" s="56">
        <v>45859</v>
      </c>
      <c r="L667" s="140" t="s">
        <v>398</v>
      </c>
    </row>
    <row r="668" spans="7:12" x14ac:dyDescent="0.2">
      <c r="G668" s="55" t="s">
        <v>38</v>
      </c>
      <c r="H668" s="55" t="s">
        <v>192</v>
      </c>
      <c r="I668" s="55" t="s">
        <v>169</v>
      </c>
      <c r="J668" s="55" t="s">
        <v>845</v>
      </c>
      <c r="K668" s="56" t="s">
        <v>846</v>
      </c>
      <c r="L668" s="140" t="s">
        <v>380</v>
      </c>
    </row>
    <row r="669" spans="7:12" x14ac:dyDescent="0.2">
      <c r="G669" s="55" t="s">
        <v>161</v>
      </c>
      <c r="H669" s="55" t="s">
        <v>213</v>
      </c>
      <c r="I669" s="55" t="s">
        <v>847</v>
      </c>
      <c r="J669" s="55" t="s">
        <v>705</v>
      </c>
      <c r="K669" s="56" t="s">
        <v>846</v>
      </c>
      <c r="L669" s="140" t="s">
        <v>360</v>
      </c>
    </row>
    <row r="670" spans="7:12" x14ac:dyDescent="0.2">
      <c r="G670" s="55" t="s">
        <v>161</v>
      </c>
      <c r="H670" s="55" t="s">
        <v>205</v>
      </c>
      <c r="I670" s="55" t="s">
        <v>847</v>
      </c>
      <c r="J670" s="55" t="s">
        <v>848</v>
      </c>
      <c r="K670" s="56" t="s">
        <v>846</v>
      </c>
      <c r="L670" s="140" t="s">
        <v>360</v>
      </c>
    </row>
    <row r="671" spans="7:12" x14ac:dyDescent="0.2">
      <c r="G671" s="55" t="s">
        <v>161</v>
      </c>
      <c r="H671" s="55" t="s">
        <v>205</v>
      </c>
      <c r="I671" s="55" t="s">
        <v>165</v>
      </c>
      <c r="J671" s="55" t="s">
        <v>849</v>
      </c>
      <c r="K671" s="56" t="s">
        <v>850</v>
      </c>
      <c r="L671" s="140" t="s">
        <v>380</v>
      </c>
    </row>
    <row r="672" spans="7:12" x14ac:dyDescent="0.2">
      <c r="G672" s="55" t="s">
        <v>175</v>
      </c>
      <c r="H672" s="55" t="s">
        <v>205</v>
      </c>
      <c r="I672" s="55" t="s">
        <v>277</v>
      </c>
      <c r="J672" s="55" t="s">
        <v>851</v>
      </c>
      <c r="K672" s="56">
        <v>45861</v>
      </c>
      <c r="L672" s="140" t="s">
        <v>398</v>
      </c>
    </row>
    <row r="673" spans="7:12" x14ac:dyDescent="0.2">
      <c r="G673" s="55" t="s">
        <v>31</v>
      </c>
      <c r="H673" s="55" t="s">
        <v>205</v>
      </c>
      <c r="I673" s="55" t="s">
        <v>162</v>
      </c>
      <c r="J673" s="55" t="s">
        <v>852</v>
      </c>
      <c r="K673" s="56" t="s">
        <v>853</v>
      </c>
      <c r="L673" s="140" t="s">
        <v>398</v>
      </c>
    </row>
    <row r="674" spans="7:12" x14ac:dyDescent="0.2">
      <c r="G674" s="315" t="s">
        <v>720</v>
      </c>
      <c r="H674" s="315" t="s">
        <v>9</v>
      </c>
      <c r="I674" s="315" t="s">
        <v>174</v>
      </c>
      <c r="J674" s="315" t="s">
        <v>698</v>
      </c>
      <c r="K674" s="175" t="s">
        <v>854</v>
      </c>
      <c r="L674" s="317"/>
    </row>
    <row r="675" spans="7:12" x14ac:dyDescent="0.2">
      <c r="G675" s="315" t="s">
        <v>720</v>
      </c>
      <c r="H675" s="315" t="s">
        <v>9</v>
      </c>
      <c r="I675" s="315" t="s">
        <v>163</v>
      </c>
      <c r="J675" s="315" t="s">
        <v>698</v>
      </c>
      <c r="K675" s="175" t="s">
        <v>846</v>
      </c>
      <c r="L675" s="317"/>
    </row>
    <row r="676" spans="7:12" x14ac:dyDescent="0.2">
      <c r="G676" s="315" t="s">
        <v>720</v>
      </c>
      <c r="H676" s="315" t="s">
        <v>9</v>
      </c>
      <c r="I676" s="315" t="s">
        <v>165</v>
      </c>
      <c r="J676" s="315" t="s">
        <v>698</v>
      </c>
      <c r="K676" s="175" t="s">
        <v>846</v>
      </c>
      <c r="L676" s="317"/>
    </row>
    <row r="677" spans="7:12" x14ac:dyDescent="0.2">
      <c r="G677" s="315" t="s">
        <v>720</v>
      </c>
      <c r="H677" s="315" t="s">
        <v>9</v>
      </c>
      <c r="I677" s="315" t="s">
        <v>643</v>
      </c>
      <c r="J677" s="315" t="s">
        <v>698</v>
      </c>
      <c r="K677" s="175" t="s">
        <v>855</v>
      </c>
      <c r="L677" s="317"/>
    </row>
    <row r="678" spans="7:12" x14ac:dyDescent="0.2">
      <c r="G678" s="315" t="s">
        <v>720</v>
      </c>
      <c r="H678" s="315" t="s">
        <v>782</v>
      </c>
      <c r="I678" s="315" t="s">
        <v>838</v>
      </c>
      <c r="J678" s="315" t="s">
        <v>698</v>
      </c>
      <c r="K678" s="175" t="s">
        <v>855</v>
      </c>
      <c r="L678" s="317"/>
    </row>
    <row r="679" spans="7:12" x14ac:dyDescent="0.2">
      <c r="G679" s="315" t="s">
        <v>720</v>
      </c>
      <c r="H679" s="315" t="s">
        <v>9</v>
      </c>
      <c r="I679" s="315" t="s">
        <v>155</v>
      </c>
      <c r="J679" s="315" t="s">
        <v>698</v>
      </c>
      <c r="K679" s="175" t="s">
        <v>855</v>
      </c>
      <c r="L679" s="317"/>
    </row>
    <row r="680" spans="7:12" x14ac:dyDescent="0.2">
      <c r="G680" s="315" t="s">
        <v>720</v>
      </c>
      <c r="H680" s="315" t="s">
        <v>9</v>
      </c>
      <c r="I680" s="315" t="s">
        <v>162</v>
      </c>
      <c r="J680" s="315" t="s">
        <v>698</v>
      </c>
      <c r="K680" s="175" t="s">
        <v>855</v>
      </c>
      <c r="L680" s="317"/>
    </row>
    <row r="681" spans="7:12" x14ac:dyDescent="0.2">
      <c r="G681" s="315" t="s">
        <v>720</v>
      </c>
      <c r="H681" s="315" t="s">
        <v>9</v>
      </c>
      <c r="I681" s="315" t="s">
        <v>726</v>
      </c>
      <c r="J681" s="315" t="s">
        <v>698</v>
      </c>
      <c r="K681" s="175" t="s">
        <v>856</v>
      </c>
      <c r="L681" s="317"/>
    </row>
    <row r="682" spans="7:12" x14ac:dyDescent="0.2">
      <c r="G682" s="315" t="s">
        <v>720</v>
      </c>
      <c r="H682" s="315" t="s">
        <v>9</v>
      </c>
      <c r="I682" s="315" t="s">
        <v>56</v>
      </c>
      <c r="J682" s="315" t="s">
        <v>698</v>
      </c>
      <c r="K682" s="175" t="s">
        <v>856</v>
      </c>
      <c r="L682" s="317"/>
    </row>
    <row r="683" spans="7:12" x14ac:dyDescent="0.2">
      <c r="G683" s="315" t="s">
        <v>720</v>
      </c>
      <c r="H683" s="315" t="s">
        <v>9</v>
      </c>
      <c r="I683" s="315" t="s">
        <v>373</v>
      </c>
      <c r="J683" s="315" t="s">
        <v>698</v>
      </c>
      <c r="K683" s="175" t="s">
        <v>856</v>
      </c>
      <c r="L683" s="317"/>
    </row>
    <row r="684" spans="7:12" x14ac:dyDescent="0.2">
      <c r="G684" s="315" t="s">
        <v>720</v>
      </c>
      <c r="H684" s="315" t="s">
        <v>813</v>
      </c>
      <c r="I684" s="315" t="s">
        <v>697</v>
      </c>
      <c r="J684" s="315" t="s">
        <v>698</v>
      </c>
      <c r="K684" s="175" t="s">
        <v>856</v>
      </c>
      <c r="L684" s="317"/>
    </row>
    <row r="685" spans="7:12" x14ac:dyDescent="0.2">
      <c r="G685" s="54" t="s">
        <v>857</v>
      </c>
      <c r="H685" s="54"/>
      <c r="I685" s="54"/>
      <c r="J685" s="54"/>
      <c r="K685" s="59"/>
      <c r="L685" s="143"/>
    </row>
    <row r="686" spans="7:12" x14ac:dyDescent="0.2">
      <c r="G686" s="55" t="s">
        <v>31</v>
      </c>
      <c r="H686" s="55" t="s">
        <v>205</v>
      </c>
      <c r="I686" s="55" t="s">
        <v>830</v>
      </c>
      <c r="J686" s="55" t="s">
        <v>858</v>
      </c>
      <c r="K686" s="56" t="s">
        <v>859</v>
      </c>
      <c r="L686" s="140" t="s">
        <v>400</v>
      </c>
    </row>
    <row r="687" spans="7:12" x14ac:dyDescent="0.2">
      <c r="G687" s="55" t="s">
        <v>860</v>
      </c>
      <c r="H687" s="55" t="s">
        <v>213</v>
      </c>
      <c r="I687" s="55" t="s">
        <v>159</v>
      </c>
      <c r="J687" s="55" t="s">
        <v>861</v>
      </c>
      <c r="K687" s="56" t="s">
        <v>859</v>
      </c>
      <c r="L687" s="140" t="s">
        <v>398</v>
      </c>
    </row>
    <row r="688" spans="7:12" x14ac:dyDescent="0.2">
      <c r="G688" s="55" t="s">
        <v>860</v>
      </c>
      <c r="H688" s="55" t="s">
        <v>230</v>
      </c>
      <c r="I688" s="55" t="s">
        <v>63</v>
      </c>
      <c r="J688" s="55" t="s">
        <v>862</v>
      </c>
      <c r="K688" s="56" t="s">
        <v>863</v>
      </c>
      <c r="L688" s="140" t="s">
        <v>380</v>
      </c>
    </row>
    <row r="689" spans="7:12" x14ac:dyDescent="0.2">
      <c r="G689" s="55" t="s">
        <v>860</v>
      </c>
      <c r="H689" s="55" t="s">
        <v>192</v>
      </c>
      <c r="I689" s="55" t="s">
        <v>169</v>
      </c>
      <c r="J689" s="55" t="s">
        <v>864</v>
      </c>
      <c r="K689" s="56" t="s">
        <v>863</v>
      </c>
      <c r="L689" s="140" t="s">
        <v>360</v>
      </c>
    </row>
    <row r="690" spans="7:12" x14ac:dyDescent="0.2">
      <c r="G690" s="315" t="s">
        <v>720</v>
      </c>
      <c r="H690" s="315" t="s">
        <v>9</v>
      </c>
      <c r="I690" s="315" t="s">
        <v>157</v>
      </c>
      <c r="J690" s="315" t="s">
        <v>698</v>
      </c>
      <c r="K690" s="175" t="s">
        <v>865</v>
      </c>
      <c r="L690" s="317"/>
    </row>
    <row r="691" spans="7:12" x14ac:dyDescent="0.2">
      <c r="G691" s="315" t="s">
        <v>720</v>
      </c>
      <c r="H691" s="315" t="s">
        <v>656</v>
      </c>
      <c r="I691" s="315" t="s">
        <v>866</v>
      </c>
      <c r="J691" s="315" t="s">
        <v>698</v>
      </c>
      <c r="K691" s="175">
        <v>45867</v>
      </c>
      <c r="L691" s="317"/>
    </row>
    <row r="692" spans="7:12" x14ac:dyDescent="0.2">
      <c r="G692" s="315" t="s">
        <v>720</v>
      </c>
      <c r="H692" s="315" t="s">
        <v>9</v>
      </c>
      <c r="I692" s="315" t="s">
        <v>159</v>
      </c>
      <c r="J692" s="315" t="s">
        <v>698</v>
      </c>
      <c r="K692" s="175" t="s">
        <v>867</v>
      </c>
      <c r="L692" s="317"/>
    </row>
    <row r="693" spans="7:12" x14ac:dyDescent="0.2">
      <c r="G693" s="315" t="s">
        <v>720</v>
      </c>
      <c r="H693" s="315" t="s">
        <v>9</v>
      </c>
      <c r="I693" s="315" t="s">
        <v>169</v>
      </c>
      <c r="J693" s="315" t="s">
        <v>698</v>
      </c>
      <c r="K693" s="175" t="s">
        <v>867</v>
      </c>
      <c r="L693" s="317"/>
    </row>
    <row r="694" spans="7:12" x14ac:dyDescent="0.2">
      <c r="G694" s="315" t="s">
        <v>720</v>
      </c>
      <c r="H694" s="315" t="s">
        <v>813</v>
      </c>
      <c r="I694" s="315" t="s">
        <v>176</v>
      </c>
      <c r="J694" s="315" t="s">
        <v>698</v>
      </c>
      <c r="K694" s="175" t="s">
        <v>867</v>
      </c>
      <c r="L694" s="317"/>
    </row>
    <row r="695" spans="7:12" x14ac:dyDescent="0.2">
      <c r="G695" s="315" t="s">
        <v>720</v>
      </c>
      <c r="H695" s="315" t="s">
        <v>9</v>
      </c>
      <c r="I695" s="315" t="s">
        <v>171</v>
      </c>
      <c r="J695" s="315" t="s">
        <v>698</v>
      </c>
      <c r="K695" s="175" t="s">
        <v>868</v>
      </c>
      <c r="L695" s="317"/>
    </row>
    <row r="696" spans="7:12" x14ac:dyDescent="0.2">
      <c r="G696" s="315" t="s">
        <v>720</v>
      </c>
      <c r="H696" s="315" t="s">
        <v>9</v>
      </c>
      <c r="I696" s="315" t="s">
        <v>869</v>
      </c>
      <c r="J696" s="315" t="s">
        <v>698</v>
      </c>
      <c r="K696" s="175" t="s">
        <v>870</v>
      </c>
      <c r="L696" s="317"/>
    </row>
    <row r="697" spans="7:12" x14ac:dyDescent="0.2">
      <c r="G697" s="315" t="s">
        <v>720</v>
      </c>
      <c r="H697" s="315" t="s">
        <v>783</v>
      </c>
      <c r="I697" s="315" t="s">
        <v>68</v>
      </c>
      <c r="J697" s="315" t="s">
        <v>698</v>
      </c>
      <c r="K697" s="175" t="s">
        <v>870</v>
      </c>
      <c r="L697" s="317"/>
    </row>
    <row r="698" spans="7:12" x14ac:dyDescent="0.2">
      <c r="G698" s="315" t="s">
        <v>720</v>
      </c>
      <c r="H698" s="315" t="s">
        <v>783</v>
      </c>
      <c r="I698" s="315" t="s">
        <v>723</v>
      </c>
      <c r="J698" s="315" t="s">
        <v>698</v>
      </c>
      <c r="K698" s="175" t="s">
        <v>870</v>
      </c>
      <c r="L698" s="317"/>
    </row>
    <row r="699" spans="7:12" x14ac:dyDescent="0.2">
      <c r="G699" s="54" t="s">
        <v>871</v>
      </c>
      <c r="H699" s="54"/>
      <c r="I699" s="54"/>
      <c r="J699" s="54"/>
      <c r="K699" s="59"/>
      <c r="L699" s="143"/>
    </row>
    <row r="700" spans="7:12" x14ac:dyDescent="0.2">
      <c r="G700" s="55" t="s">
        <v>161</v>
      </c>
      <c r="H700" s="55" t="s">
        <v>230</v>
      </c>
      <c r="I700" s="55" t="s">
        <v>176</v>
      </c>
      <c r="J700" s="55" t="s">
        <v>872</v>
      </c>
      <c r="K700" s="56">
        <v>45816</v>
      </c>
      <c r="L700" s="140" t="s">
        <v>360</v>
      </c>
    </row>
    <row r="701" spans="7:12" x14ac:dyDescent="0.2">
      <c r="G701" s="55" t="s">
        <v>161</v>
      </c>
      <c r="H701" s="55" t="s">
        <v>205</v>
      </c>
      <c r="I701" s="55" t="s">
        <v>847</v>
      </c>
      <c r="J701" s="55" t="s">
        <v>698</v>
      </c>
      <c r="K701" s="56">
        <v>45846</v>
      </c>
      <c r="L701" s="140" t="s">
        <v>360</v>
      </c>
    </row>
    <row r="702" spans="7:12" x14ac:dyDescent="0.2">
      <c r="G702" s="55" t="s">
        <v>860</v>
      </c>
      <c r="H702" s="55" t="s">
        <v>205</v>
      </c>
      <c r="I702" s="55" t="s">
        <v>159</v>
      </c>
      <c r="J702" s="55" t="s">
        <v>873</v>
      </c>
      <c r="K702" s="56">
        <v>45846</v>
      </c>
      <c r="L702" s="140" t="s">
        <v>398</v>
      </c>
    </row>
    <row r="703" spans="7:12" x14ac:dyDescent="0.2">
      <c r="G703" s="55" t="s">
        <v>161</v>
      </c>
      <c r="H703" s="55" t="s">
        <v>230</v>
      </c>
      <c r="I703" s="55" t="s">
        <v>179</v>
      </c>
      <c r="J703" s="55" t="s">
        <v>874</v>
      </c>
      <c r="K703" s="56">
        <v>45846</v>
      </c>
      <c r="L703" s="140" t="s">
        <v>380</v>
      </c>
    </row>
    <row r="704" spans="7:12" x14ac:dyDescent="0.2">
      <c r="G704" s="55" t="s">
        <v>161</v>
      </c>
      <c r="H704" s="55" t="s">
        <v>230</v>
      </c>
      <c r="I704" s="55" t="s">
        <v>179</v>
      </c>
      <c r="J704" s="55" t="s">
        <v>875</v>
      </c>
      <c r="K704" s="56">
        <v>45846</v>
      </c>
      <c r="L704" s="140" t="s">
        <v>380</v>
      </c>
    </row>
    <row r="705" spans="7:12" x14ac:dyDescent="0.2">
      <c r="G705" s="55" t="s">
        <v>860</v>
      </c>
      <c r="H705" s="55" t="s">
        <v>192</v>
      </c>
      <c r="I705" s="55" t="s">
        <v>169</v>
      </c>
      <c r="J705" s="55" t="s">
        <v>876</v>
      </c>
      <c r="K705" s="56">
        <v>45877</v>
      </c>
      <c r="L705" s="140" t="s">
        <v>380</v>
      </c>
    </row>
    <row r="706" spans="7:12" x14ac:dyDescent="0.2">
      <c r="G706" s="315" t="s">
        <v>720</v>
      </c>
      <c r="H706" s="315" t="s">
        <v>9</v>
      </c>
      <c r="I706" s="315" t="s">
        <v>174</v>
      </c>
      <c r="J706" s="315" t="s">
        <v>698</v>
      </c>
      <c r="K706" s="175">
        <v>45755</v>
      </c>
      <c r="L706" s="317"/>
    </row>
    <row r="707" spans="7:12" x14ac:dyDescent="0.2">
      <c r="G707" s="315" t="s">
        <v>720</v>
      </c>
      <c r="H707" s="315" t="s">
        <v>656</v>
      </c>
      <c r="I707" s="315" t="s">
        <v>877</v>
      </c>
      <c r="J707" s="315" t="s">
        <v>698</v>
      </c>
      <c r="K707" s="175">
        <v>45755</v>
      </c>
      <c r="L707" s="317"/>
    </row>
    <row r="708" spans="7:12" x14ac:dyDescent="0.2">
      <c r="G708" s="315" t="s">
        <v>720</v>
      </c>
      <c r="H708" s="315" t="s">
        <v>782</v>
      </c>
      <c r="I708" s="315" t="s">
        <v>866</v>
      </c>
      <c r="J708" s="315" t="s">
        <v>698</v>
      </c>
      <c r="K708" s="175">
        <v>45785</v>
      </c>
      <c r="L708" s="317"/>
    </row>
    <row r="709" spans="7:12" x14ac:dyDescent="0.2">
      <c r="G709" s="315" t="s">
        <v>720</v>
      </c>
      <c r="H709" s="315" t="s">
        <v>9</v>
      </c>
      <c r="I709" s="315" t="s">
        <v>155</v>
      </c>
      <c r="J709" s="315" t="s">
        <v>698</v>
      </c>
      <c r="K709" s="175">
        <v>45846</v>
      </c>
      <c r="L709" s="317"/>
    </row>
    <row r="710" spans="7:12" x14ac:dyDescent="0.2">
      <c r="G710" s="315" t="s">
        <v>720</v>
      </c>
      <c r="H710" s="315" t="s">
        <v>9</v>
      </c>
      <c r="I710" s="315" t="s">
        <v>177</v>
      </c>
      <c r="J710" s="315" t="s">
        <v>698</v>
      </c>
      <c r="K710" s="175">
        <v>45846</v>
      </c>
      <c r="L710" s="317"/>
    </row>
    <row r="711" spans="7:12" x14ac:dyDescent="0.2">
      <c r="G711" s="54" t="s">
        <v>878</v>
      </c>
      <c r="H711" s="54"/>
      <c r="I711" s="54"/>
      <c r="J711" s="54"/>
      <c r="K711" s="59"/>
      <c r="L711" s="143"/>
    </row>
    <row r="712" spans="7:12" x14ac:dyDescent="0.2">
      <c r="G712" s="55" t="s">
        <v>161</v>
      </c>
      <c r="H712" s="55" t="s">
        <v>202</v>
      </c>
      <c r="I712" s="55" t="s">
        <v>176</v>
      </c>
      <c r="J712" s="55" t="s">
        <v>879</v>
      </c>
      <c r="K712" s="56">
        <v>45999</v>
      </c>
      <c r="L712" s="140" t="s">
        <v>398</v>
      </c>
    </row>
    <row r="713" spans="7:12" x14ac:dyDescent="0.2">
      <c r="G713" s="55" t="s">
        <v>860</v>
      </c>
      <c r="H713" s="55" t="s">
        <v>192</v>
      </c>
      <c r="I713" s="55" t="s">
        <v>169</v>
      </c>
      <c r="J713" s="55" t="s">
        <v>880</v>
      </c>
      <c r="K713" s="56">
        <v>45999</v>
      </c>
      <c r="L713" s="140" t="s">
        <v>380</v>
      </c>
    </row>
    <row r="714" spans="7:12" x14ac:dyDescent="0.2">
      <c r="G714" s="55" t="s">
        <v>860</v>
      </c>
      <c r="H714" s="55" t="s">
        <v>192</v>
      </c>
      <c r="I714" s="55" t="s">
        <v>838</v>
      </c>
      <c r="J714" s="55" t="s">
        <v>881</v>
      </c>
      <c r="K714" s="56" t="s">
        <v>882</v>
      </c>
      <c r="L714" s="140" t="s">
        <v>398</v>
      </c>
    </row>
    <row r="715" spans="7:12" x14ac:dyDescent="0.2">
      <c r="G715" s="315" t="s">
        <v>720</v>
      </c>
      <c r="H715" s="315" t="s">
        <v>782</v>
      </c>
      <c r="I715" s="315" t="s">
        <v>877</v>
      </c>
      <c r="J715" s="315" t="s">
        <v>698</v>
      </c>
      <c r="K715" s="175">
        <v>45969</v>
      </c>
      <c r="L715" s="317"/>
    </row>
    <row r="716" spans="7:12" x14ac:dyDescent="0.2">
      <c r="G716" s="315" t="s">
        <v>720</v>
      </c>
      <c r="H716" s="315" t="s">
        <v>9</v>
      </c>
      <c r="I716" s="315" t="s">
        <v>159</v>
      </c>
      <c r="J716" s="315" t="s">
        <v>698</v>
      </c>
      <c r="K716" s="175">
        <v>45999</v>
      </c>
      <c r="L716" s="317"/>
    </row>
    <row r="717" spans="7:12" x14ac:dyDescent="0.2">
      <c r="G717" s="315" t="s">
        <v>720</v>
      </c>
      <c r="H717" s="315" t="s">
        <v>656</v>
      </c>
      <c r="I717" s="315" t="s">
        <v>883</v>
      </c>
      <c r="J717" s="315" t="s">
        <v>698</v>
      </c>
      <c r="K717" s="175" t="s">
        <v>884</v>
      </c>
      <c r="L717" s="317"/>
    </row>
    <row r="718" spans="7:12" x14ac:dyDescent="0.2">
      <c r="G718" s="315" t="s">
        <v>720</v>
      </c>
      <c r="H718" s="315" t="s">
        <v>656</v>
      </c>
      <c r="I718" s="315" t="s">
        <v>885</v>
      </c>
      <c r="J718" s="315" t="s">
        <v>698</v>
      </c>
      <c r="K718" s="175" t="s">
        <v>886</v>
      </c>
      <c r="L718" s="317"/>
    </row>
    <row r="719" spans="7:12" x14ac:dyDescent="0.2">
      <c r="G719" s="315" t="s">
        <v>720</v>
      </c>
      <c r="H719" s="315" t="s">
        <v>9</v>
      </c>
      <c r="I719" s="315" t="s">
        <v>157</v>
      </c>
      <c r="J719" s="315" t="s">
        <v>698</v>
      </c>
      <c r="K719" s="175" t="s">
        <v>886</v>
      </c>
      <c r="L719" s="317"/>
    </row>
    <row r="720" spans="7:12" x14ac:dyDescent="0.2">
      <c r="G720" s="54" t="s">
        <v>887</v>
      </c>
      <c r="H720" s="54"/>
      <c r="I720" s="54"/>
      <c r="J720" s="54"/>
      <c r="K720" s="59"/>
      <c r="L720" s="143"/>
    </row>
    <row r="721" spans="7:12" x14ac:dyDescent="0.2">
      <c r="G721" s="55" t="s">
        <v>161</v>
      </c>
      <c r="H721" s="55" t="s">
        <v>205</v>
      </c>
      <c r="I721" s="55" t="s">
        <v>179</v>
      </c>
      <c r="J721" s="55" t="s">
        <v>888</v>
      </c>
      <c r="K721" s="56" t="s">
        <v>889</v>
      </c>
      <c r="L721" s="140" t="s">
        <v>380</v>
      </c>
    </row>
    <row r="722" spans="7:12" x14ac:dyDescent="0.2">
      <c r="G722" s="55" t="s">
        <v>860</v>
      </c>
      <c r="H722" s="55" t="s">
        <v>213</v>
      </c>
      <c r="I722" s="55" t="s">
        <v>698</v>
      </c>
      <c r="J722" s="55" t="s">
        <v>890</v>
      </c>
      <c r="K722" s="56" t="s">
        <v>891</v>
      </c>
      <c r="L722" s="140" t="s">
        <v>360</v>
      </c>
    </row>
    <row r="723" spans="7:12" x14ac:dyDescent="0.2">
      <c r="G723" s="55" t="s">
        <v>860</v>
      </c>
      <c r="H723" s="55" t="s">
        <v>892</v>
      </c>
      <c r="I723" s="55" t="s">
        <v>643</v>
      </c>
      <c r="J723" s="55" t="s">
        <v>893</v>
      </c>
      <c r="K723" s="56" t="s">
        <v>894</v>
      </c>
      <c r="L723" s="140" t="s">
        <v>380</v>
      </c>
    </row>
    <row r="724" spans="7:12" x14ac:dyDescent="0.2">
      <c r="G724" s="55" t="s">
        <v>860</v>
      </c>
      <c r="H724" s="55" t="s">
        <v>341</v>
      </c>
      <c r="I724" s="55" t="s">
        <v>157</v>
      </c>
      <c r="J724" s="157" t="s">
        <v>895</v>
      </c>
      <c r="K724" s="56" t="s">
        <v>896</v>
      </c>
      <c r="L724" s="140" t="s">
        <v>360</v>
      </c>
    </row>
    <row r="725" spans="7:12" x14ac:dyDescent="0.2">
      <c r="G725" s="55" t="s">
        <v>860</v>
      </c>
      <c r="H725" s="55" t="s">
        <v>213</v>
      </c>
      <c r="I725" s="55" t="s">
        <v>698</v>
      </c>
      <c r="J725" s="55" t="s">
        <v>897</v>
      </c>
      <c r="K725" s="56" t="s">
        <v>891</v>
      </c>
      <c r="L725" s="140" t="s">
        <v>360</v>
      </c>
    </row>
    <row r="726" spans="7:12" x14ac:dyDescent="0.2">
      <c r="G726" s="55" t="s">
        <v>31</v>
      </c>
      <c r="H726" s="55" t="s">
        <v>205</v>
      </c>
      <c r="I726" s="55" t="s">
        <v>163</v>
      </c>
      <c r="J726" s="55" t="s">
        <v>898</v>
      </c>
      <c r="K726" s="56" t="s">
        <v>899</v>
      </c>
      <c r="L726" s="140" t="s">
        <v>360</v>
      </c>
    </row>
    <row r="727" spans="7:12" x14ac:dyDescent="0.2">
      <c r="G727" s="61" t="s">
        <v>900</v>
      </c>
      <c r="H727" s="61" t="s">
        <v>900</v>
      </c>
      <c r="I727" s="61" t="s">
        <v>900</v>
      </c>
      <c r="J727" s="61" t="s">
        <v>900</v>
      </c>
      <c r="K727" s="216" t="s">
        <v>900</v>
      </c>
      <c r="L727" s="61" t="s">
        <v>900</v>
      </c>
    </row>
    <row r="728" spans="7:12" x14ac:dyDescent="0.2">
      <c r="G728" s="55" t="s">
        <v>31</v>
      </c>
      <c r="H728" s="55" t="s">
        <v>205</v>
      </c>
      <c r="I728" s="55" t="s">
        <v>44</v>
      </c>
      <c r="J728" s="55" t="s">
        <v>651</v>
      </c>
      <c r="K728" s="56" t="s">
        <v>901</v>
      </c>
      <c r="L728" s="140" t="s">
        <v>380</v>
      </c>
    </row>
    <row r="729" spans="7:12" x14ac:dyDescent="0.2">
      <c r="G729" s="55" t="s">
        <v>860</v>
      </c>
      <c r="H729" s="55" t="s">
        <v>892</v>
      </c>
      <c r="I729" s="55" t="s">
        <v>643</v>
      </c>
      <c r="J729" s="55" t="s">
        <v>902</v>
      </c>
      <c r="K729" s="56" t="s">
        <v>903</v>
      </c>
      <c r="L729" s="140" t="s">
        <v>398</v>
      </c>
    </row>
    <row r="730" spans="7:12" x14ac:dyDescent="0.2">
      <c r="G730" s="55" t="s">
        <v>31</v>
      </c>
      <c r="H730" s="55" t="s">
        <v>205</v>
      </c>
      <c r="I730" s="55" t="s">
        <v>830</v>
      </c>
      <c r="J730" s="55" t="s">
        <v>803</v>
      </c>
      <c r="K730" s="56" t="s">
        <v>903</v>
      </c>
      <c r="L730" s="140" t="s">
        <v>380</v>
      </c>
    </row>
    <row r="731" spans="7:12" x14ac:dyDescent="0.2">
      <c r="G731" s="55" t="s">
        <v>860</v>
      </c>
      <c r="H731" s="55" t="s">
        <v>341</v>
      </c>
      <c r="I731" s="55" t="s">
        <v>157</v>
      </c>
      <c r="J731" s="157" t="s">
        <v>904</v>
      </c>
      <c r="K731" s="56" t="s">
        <v>905</v>
      </c>
      <c r="L731" s="140" t="s">
        <v>400</v>
      </c>
    </row>
    <row r="732" spans="7:12" x14ac:dyDescent="0.2">
      <c r="G732" s="55" t="s">
        <v>860</v>
      </c>
      <c r="H732" s="55" t="s">
        <v>192</v>
      </c>
      <c r="I732" s="55" t="s">
        <v>157</v>
      </c>
      <c r="J732" s="328" t="s">
        <v>906</v>
      </c>
      <c r="K732" s="56" t="s">
        <v>907</v>
      </c>
      <c r="L732" s="140" t="s">
        <v>380</v>
      </c>
    </row>
    <row r="733" spans="7:12" x14ac:dyDescent="0.2">
      <c r="G733" s="315" t="s">
        <v>720</v>
      </c>
      <c r="H733" s="315" t="s">
        <v>656</v>
      </c>
      <c r="I733" s="315" t="s">
        <v>908</v>
      </c>
      <c r="J733" s="315" t="s">
        <v>698</v>
      </c>
      <c r="K733" s="175" t="s">
        <v>909</v>
      </c>
      <c r="L733" s="317"/>
    </row>
    <row r="734" spans="7:12" x14ac:dyDescent="0.2">
      <c r="G734" s="315" t="s">
        <v>720</v>
      </c>
      <c r="H734" s="315" t="s">
        <v>9</v>
      </c>
      <c r="I734" s="315" t="s">
        <v>174</v>
      </c>
      <c r="J734" s="315" t="s">
        <v>698</v>
      </c>
      <c r="K734" s="175" t="s">
        <v>909</v>
      </c>
      <c r="L734" s="317"/>
    </row>
    <row r="735" spans="7:12" x14ac:dyDescent="0.2">
      <c r="G735" s="315" t="s">
        <v>720</v>
      </c>
      <c r="H735" s="315" t="s">
        <v>9</v>
      </c>
      <c r="I735" s="315" t="s">
        <v>643</v>
      </c>
      <c r="J735" s="315" t="s">
        <v>698</v>
      </c>
      <c r="K735" s="175" t="s">
        <v>910</v>
      </c>
      <c r="L735" s="317"/>
    </row>
    <row r="736" spans="7:12" x14ac:dyDescent="0.2">
      <c r="G736" s="315" t="s">
        <v>720</v>
      </c>
      <c r="H736" s="315" t="s">
        <v>9</v>
      </c>
      <c r="I736" s="315" t="s">
        <v>838</v>
      </c>
      <c r="J736" s="315" t="s">
        <v>698</v>
      </c>
      <c r="K736" s="175" t="s">
        <v>911</v>
      </c>
      <c r="L736" s="317"/>
    </row>
    <row r="737" spans="7:12" x14ac:dyDescent="0.2">
      <c r="G737" s="61" t="s">
        <v>912</v>
      </c>
      <c r="H737" s="61" t="s">
        <v>912</v>
      </c>
      <c r="I737" s="61" t="s">
        <v>912</v>
      </c>
      <c r="J737" s="61" t="s">
        <v>912</v>
      </c>
      <c r="K737" s="216" t="s">
        <v>912</v>
      </c>
      <c r="L737" s="61" t="s">
        <v>912</v>
      </c>
    </row>
    <row r="738" spans="7:12" x14ac:dyDescent="0.2">
      <c r="G738" s="55" t="s">
        <v>720</v>
      </c>
      <c r="H738" s="55" t="s">
        <v>192</v>
      </c>
      <c r="I738" s="55" t="s">
        <v>176</v>
      </c>
      <c r="J738" s="55" t="s">
        <v>913</v>
      </c>
      <c r="K738" s="56">
        <v>45666</v>
      </c>
      <c r="L738" s="140" t="s">
        <v>398</v>
      </c>
    </row>
    <row r="739" spans="7:12" x14ac:dyDescent="0.2">
      <c r="G739" s="55" t="s">
        <v>914</v>
      </c>
      <c r="H739" s="55" t="s">
        <v>205</v>
      </c>
      <c r="I739" s="55" t="s">
        <v>155</v>
      </c>
      <c r="J739" s="55" t="s">
        <v>915</v>
      </c>
      <c r="K739" s="56">
        <v>45666</v>
      </c>
      <c r="L739" s="140" t="s">
        <v>398</v>
      </c>
    </row>
    <row r="740" spans="7:12" x14ac:dyDescent="0.2">
      <c r="G740" s="55" t="s">
        <v>860</v>
      </c>
      <c r="H740" s="55" t="s">
        <v>250</v>
      </c>
      <c r="I740" s="55" t="s">
        <v>698</v>
      </c>
      <c r="J740" s="55" t="s">
        <v>916</v>
      </c>
      <c r="K740" s="56">
        <v>45697</v>
      </c>
      <c r="L740" s="140" t="s">
        <v>360</v>
      </c>
    </row>
    <row r="741" spans="7:12" x14ac:dyDescent="0.2">
      <c r="G741" s="55" t="s">
        <v>860</v>
      </c>
      <c r="H741" s="55" t="s">
        <v>257</v>
      </c>
      <c r="I741" s="55" t="s">
        <v>698</v>
      </c>
      <c r="J741" s="55" t="s">
        <v>917</v>
      </c>
      <c r="K741" s="56">
        <v>45697</v>
      </c>
      <c r="L741" s="140" t="s">
        <v>360</v>
      </c>
    </row>
    <row r="742" spans="7:12" x14ac:dyDescent="0.2">
      <c r="G742" s="55" t="s">
        <v>31</v>
      </c>
      <c r="H742" s="55" t="s">
        <v>202</v>
      </c>
      <c r="I742" s="55" t="s">
        <v>177</v>
      </c>
      <c r="J742" s="55" t="s">
        <v>206</v>
      </c>
      <c r="K742" s="56">
        <v>45903</v>
      </c>
      <c r="L742" s="140" t="s">
        <v>398</v>
      </c>
    </row>
    <row r="743" spans="7:12" x14ac:dyDescent="0.2">
      <c r="G743" s="55" t="s">
        <v>720</v>
      </c>
      <c r="H743" s="55" t="s">
        <v>250</v>
      </c>
      <c r="I743" s="55" t="s">
        <v>176</v>
      </c>
      <c r="J743" s="55" t="s">
        <v>918</v>
      </c>
      <c r="K743" s="56">
        <v>45725</v>
      </c>
      <c r="L743" s="140" t="s">
        <v>398</v>
      </c>
    </row>
    <row r="744" spans="7:12" x14ac:dyDescent="0.2">
      <c r="G744" s="55" t="s">
        <v>31</v>
      </c>
      <c r="H744" s="55" t="s">
        <v>205</v>
      </c>
      <c r="I744" s="55" t="s">
        <v>177</v>
      </c>
      <c r="J744" s="55" t="s">
        <v>919</v>
      </c>
      <c r="K744" s="56">
        <v>45904</v>
      </c>
      <c r="L744" s="140" t="s">
        <v>398</v>
      </c>
    </row>
    <row r="745" spans="7:12" x14ac:dyDescent="0.2">
      <c r="G745" s="55" t="s">
        <v>720</v>
      </c>
      <c r="H745" s="55" t="s">
        <v>205</v>
      </c>
      <c r="I745" s="55" t="s">
        <v>697</v>
      </c>
      <c r="J745" s="55" t="s">
        <v>920</v>
      </c>
      <c r="K745" s="56">
        <v>45756</v>
      </c>
      <c r="L745" s="140" t="s">
        <v>398</v>
      </c>
    </row>
    <row r="746" spans="7:12" x14ac:dyDescent="0.2">
      <c r="G746" s="55" t="s">
        <v>720</v>
      </c>
      <c r="H746" s="55" t="s">
        <v>213</v>
      </c>
      <c r="I746" s="55" t="s">
        <v>176</v>
      </c>
      <c r="J746" s="55" t="s">
        <v>921</v>
      </c>
      <c r="K746" s="56">
        <v>45786</v>
      </c>
      <c r="L746" s="140" t="s">
        <v>398</v>
      </c>
    </row>
    <row r="747" spans="7:12" x14ac:dyDescent="0.2">
      <c r="G747" s="315" t="s">
        <v>720</v>
      </c>
      <c r="H747" s="315" t="s">
        <v>9</v>
      </c>
      <c r="I747" s="315" t="s">
        <v>155</v>
      </c>
      <c r="J747" s="315" t="s">
        <v>698</v>
      </c>
      <c r="K747" s="175">
        <v>45697</v>
      </c>
      <c r="L747" s="317"/>
    </row>
    <row r="748" spans="7:12" x14ac:dyDescent="0.2">
      <c r="G748" s="315" t="s">
        <v>720</v>
      </c>
      <c r="H748" s="315" t="s">
        <v>782</v>
      </c>
      <c r="I748" s="315" t="s">
        <v>908</v>
      </c>
      <c r="J748" s="315" t="s">
        <v>698</v>
      </c>
      <c r="K748" s="175">
        <v>45697</v>
      </c>
      <c r="L748" s="317"/>
    </row>
    <row r="749" spans="7:12" x14ac:dyDescent="0.2">
      <c r="G749" s="315" t="s">
        <v>720</v>
      </c>
      <c r="H749" s="315" t="s">
        <v>9</v>
      </c>
      <c r="I749" s="315" t="s">
        <v>163</v>
      </c>
      <c r="J749" s="315" t="s">
        <v>698</v>
      </c>
      <c r="K749" s="175">
        <v>45697</v>
      </c>
      <c r="L749" s="317"/>
    </row>
    <row r="750" spans="7:12" x14ac:dyDescent="0.2">
      <c r="G750" s="315" t="s">
        <v>720</v>
      </c>
      <c r="H750" s="315" t="s">
        <v>9</v>
      </c>
      <c r="I750" s="315" t="s">
        <v>165</v>
      </c>
      <c r="J750" s="315" t="s">
        <v>698</v>
      </c>
      <c r="K750" s="175">
        <v>45697</v>
      </c>
      <c r="L750" s="317"/>
    </row>
    <row r="751" spans="7:12" x14ac:dyDescent="0.2">
      <c r="G751" s="315" t="s">
        <v>720</v>
      </c>
      <c r="H751" s="315" t="s">
        <v>9</v>
      </c>
      <c r="I751" s="315" t="s">
        <v>726</v>
      </c>
      <c r="J751" s="315" t="s">
        <v>698</v>
      </c>
      <c r="K751" s="175">
        <v>45786</v>
      </c>
      <c r="L751" s="317"/>
    </row>
    <row r="752" spans="7:12" x14ac:dyDescent="0.2">
      <c r="G752" s="315" t="s">
        <v>720</v>
      </c>
      <c r="H752" s="315" t="s">
        <v>9</v>
      </c>
      <c r="I752" s="315" t="s">
        <v>167</v>
      </c>
      <c r="J752" s="315" t="s">
        <v>698</v>
      </c>
      <c r="K752" s="175">
        <v>45786</v>
      </c>
      <c r="L752" s="317"/>
    </row>
    <row r="753" spans="7:12" x14ac:dyDescent="0.2">
      <c r="G753" s="61" t="s">
        <v>922</v>
      </c>
      <c r="H753" s="61" t="s">
        <v>922</v>
      </c>
      <c r="I753" s="61" t="s">
        <v>922</v>
      </c>
      <c r="J753" s="61" t="s">
        <v>922</v>
      </c>
      <c r="K753" s="216" t="s">
        <v>922</v>
      </c>
      <c r="L753" s="61" t="s">
        <v>922</v>
      </c>
    </row>
    <row r="754" spans="7:12" x14ac:dyDescent="0.2">
      <c r="G754" s="55" t="s">
        <v>923</v>
      </c>
      <c r="H754" s="55" t="s">
        <v>230</v>
      </c>
      <c r="I754" s="55" t="s">
        <v>840</v>
      </c>
      <c r="J754" s="55" t="s">
        <v>924</v>
      </c>
      <c r="K754" s="56">
        <v>45878</v>
      </c>
      <c r="L754" s="140" t="s">
        <v>925</v>
      </c>
    </row>
    <row r="755" spans="7:12" x14ac:dyDescent="0.2">
      <c r="G755" s="55" t="s">
        <v>860</v>
      </c>
      <c r="H755" s="55" t="s">
        <v>293</v>
      </c>
      <c r="I755" s="55" t="s">
        <v>643</v>
      </c>
      <c r="J755" s="55" t="s">
        <v>926</v>
      </c>
      <c r="K755" s="56">
        <v>45909</v>
      </c>
      <c r="L755" s="140" t="s">
        <v>380</v>
      </c>
    </row>
    <row r="756" spans="7:12" x14ac:dyDescent="0.2">
      <c r="G756" s="55" t="s">
        <v>720</v>
      </c>
      <c r="H756" s="55" t="s">
        <v>927</v>
      </c>
      <c r="I756" s="55" t="s">
        <v>840</v>
      </c>
      <c r="J756" s="55" t="s">
        <v>928</v>
      </c>
      <c r="K756" s="56">
        <v>45909</v>
      </c>
      <c r="L756" s="140" t="s">
        <v>360</v>
      </c>
    </row>
    <row r="757" spans="7:12" x14ac:dyDescent="0.2">
      <c r="G757" s="55" t="s">
        <v>860</v>
      </c>
      <c r="H757" s="55" t="s">
        <v>341</v>
      </c>
      <c r="I757" s="55" t="s">
        <v>157</v>
      </c>
      <c r="J757" s="55" t="s">
        <v>929</v>
      </c>
      <c r="K757" s="56">
        <v>45970</v>
      </c>
      <c r="L757" s="140" t="s">
        <v>360</v>
      </c>
    </row>
    <row r="758" spans="7:12" x14ac:dyDescent="0.2">
      <c r="G758" s="55" t="s">
        <v>31</v>
      </c>
      <c r="H758" s="55" t="s">
        <v>930</v>
      </c>
      <c r="I758" s="55" t="s">
        <v>830</v>
      </c>
      <c r="J758" s="55" t="s">
        <v>931</v>
      </c>
      <c r="K758" s="56">
        <v>45970</v>
      </c>
      <c r="L758" s="140" t="s">
        <v>380</v>
      </c>
    </row>
    <row r="759" spans="7:12" x14ac:dyDescent="0.2">
      <c r="G759" s="55" t="s">
        <v>860</v>
      </c>
      <c r="H759" s="55" t="s">
        <v>751</v>
      </c>
      <c r="I759" s="55" t="s">
        <v>698</v>
      </c>
      <c r="J759" s="55" t="s">
        <v>932</v>
      </c>
      <c r="K759" s="56">
        <v>46000</v>
      </c>
      <c r="L759" s="140" t="s">
        <v>360</v>
      </c>
    </row>
    <row r="760" spans="7:12" x14ac:dyDescent="0.2">
      <c r="G760" s="55" t="s">
        <v>860</v>
      </c>
      <c r="H760" s="55" t="s">
        <v>192</v>
      </c>
      <c r="I760" s="55" t="s">
        <v>176</v>
      </c>
      <c r="J760" s="55" t="s">
        <v>933</v>
      </c>
      <c r="K760" s="56">
        <v>46000</v>
      </c>
      <c r="L760" s="140" t="s">
        <v>398</v>
      </c>
    </row>
    <row r="761" spans="7:12" x14ac:dyDescent="0.2">
      <c r="G761" s="55" t="s">
        <v>860</v>
      </c>
      <c r="H761" s="55" t="s">
        <v>257</v>
      </c>
      <c r="I761" s="55" t="s">
        <v>157</v>
      </c>
      <c r="J761" s="55" t="s">
        <v>934</v>
      </c>
      <c r="K761" s="56">
        <v>46000</v>
      </c>
      <c r="L761" s="140" t="s">
        <v>398</v>
      </c>
    </row>
    <row r="762" spans="7:12" x14ac:dyDescent="0.2">
      <c r="G762" s="55" t="s">
        <v>860</v>
      </c>
      <c r="H762" s="55" t="s">
        <v>257</v>
      </c>
      <c r="I762" s="55" t="s">
        <v>838</v>
      </c>
      <c r="J762" s="55" t="s">
        <v>935</v>
      </c>
      <c r="K762" s="56">
        <v>46000</v>
      </c>
      <c r="L762" s="140" t="s">
        <v>398</v>
      </c>
    </row>
    <row r="763" spans="7:12" x14ac:dyDescent="0.2">
      <c r="G763" s="55" t="s">
        <v>31</v>
      </c>
      <c r="H763" s="55" t="s">
        <v>205</v>
      </c>
      <c r="I763" s="55" t="s">
        <v>177</v>
      </c>
      <c r="J763" s="55" t="s">
        <v>936</v>
      </c>
      <c r="K763" s="56">
        <v>45912</v>
      </c>
      <c r="L763" s="140" t="s">
        <v>380</v>
      </c>
    </row>
    <row r="764" spans="7:12" x14ac:dyDescent="0.2">
      <c r="G764" s="55" t="s">
        <v>860</v>
      </c>
      <c r="H764" s="55" t="s">
        <v>213</v>
      </c>
      <c r="I764" s="55" t="s">
        <v>877</v>
      </c>
      <c r="J764" s="55" t="s">
        <v>937</v>
      </c>
      <c r="K764" s="56" t="s">
        <v>938</v>
      </c>
      <c r="L764" s="140" t="s">
        <v>380</v>
      </c>
    </row>
    <row r="765" spans="7:12" x14ac:dyDescent="0.2">
      <c r="G765" s="315" t="s">
        <v>720</v>
      </c>
      <c r="H765" s="315" t="s">
        <v>9</v>
      </c>
      <c r="I765" s="315" t="s">
        <v>174</v>
      </c>
      <c r="J765" s="315" t="s">
        <v>698</v>
      </c>
      <c r="K765" s="175">
        <v>45909</v>
      </c>
      <c r="L765" s="317"/>
    </row>
    <row r="766" spans="7:12" x14ac:dyDescent="0.2">
      <c r="G766" s="315" t="s">
        <v>720</v>
      </c>
      <c r="H766" s="315" t="s">
        <v>9</v>
      </c>
      <c r="I766" s="315" t="s">
        <v>157</v>
      </c>
      <c r="J766" s="315" t="s">
        <v>698</v>
      </c>
      <c r="K766" s="175">
        <v>45970</v>
      </c>
      <c r="L766" s="317"/>
    </row>
    <row r="767" spans="7:12" x14ac:dyDescent="0.2">
      <c r="G767" s="315" t="s">
        <v>720</v>
      </c>
      <c r="H767" s="315" t="s">
        <v>9</v>
      </c>
      <c r="I767" s="315" t="s">
        <v>169</v>
      </c>
      <c r="J767" s="315" t="s">
        <v>698</v>
      </c>
      <c r="K767" s="175">
        <v>45970</v>
      </c>
      <c r="L767" s="317"/>
    </row>
    <row r="768" spans="7:12" x14ac:dyDescent="0.2">
      <c r="G768" s="61" t="s">
        <v>939</v>
      </c>
      <c r="H768" s="61" t="s">
        <v>939</v>
      </c>
      <c r="I768" s="61" t="s">
        <v>939</v>
      </c>
      <c r="J768" s="61" t="s">
        <v>939</v>
      </c>
      <c r="K768" s="216" t="s">
        <v>939</v>
      </c>
      <c r="L768" s="61" t="s">
        <v>939</v>
      </c>
    </row>
    <row r="769" spans="7:12" x14ac:dyDescent="0.2">
      <c r="G769" s="55" t="s">
        <v>31</v>
      </c>
      <c r="H769" s="55" t="s">
        <v>230</v>
      </c>
      <c r="I769" s="55" t="s">
        <v>908</v>
      </c>
      <c r="J769" s="55" t="s">
        <v>940</v>
      </c>
      <c r="K769" s="56" t="s">
        <v>941</v>
      </c>
      <c r="L769" s="140" t="s">
        <v>380</v>
      </c>
    </row>
    <row r="770" spans="7:12" x14ac:dyDescent="0.2">
      <c r="G770" s="55" t="s">
        <v>860</v>
      </c>
      <c r="H770" s="55" t="s">
        <v>751</v>
      </c>
      <c r="I770" s="55" t="s">
        <v>698</v>
      </c>
      <c r="J770" s="55" t="s">
        <v>932</v>
      </c>
      <c r="K770" s="56" t="s">
        <v>941</v>
      </c>
      <c r="L770" s="140" t="s">
        <v>360</v>
      </c>
    </row>
    <row r="771" spans="7:12" x14ac:dyDescent="0.2">
      <c r="G771" s="55" t="s">
        <v>942</v>
      </c>
      <c r="H771" s="55" t="s">
        <v>358</v>
      </c>
      <c r="I771" s="55" t="s">
        <v>155</v>
      </c>
      <c r="J771" s="55" t="s">
        <v>591</v>
      </c>
      <c r="K771" s="56" t="s">
        <v>943</v>
      </c>
      <c r="L771" s="140" t="s">
        <v>398</v>
      </c>
    </row>
    <row r="772" spans="7:12" x14ac:dyDescent="0.2">
      <c r="G772" s="55" t="s">
        <v>860</v>
      </c>
      <c r="H772" s="55" t="s">
        <v>192</v>
      </c>
      <c r="I772" s="55" t="s">
        <v>838</v>
      </c>
      <c r="J772" s="55" t="s">
        <v>944</v>
      </c>
      <c r="K772" s="56" t="s">
        <v>945</v>
      </c>
      <c r="L772" s="140" t="s">
        <v>398</v>
      </c>
    </row>
    <row r="773" spans="7:12" x14ac:dyDescent="0.2">
      <c r="G773" s="55" t="s">
        <v>860</v>
      </c>
      <c r="H773" s="55" t="s">
        <v>192</v>
      </c>
      <c r="I773" s="55" t="s">
        <v>838</v>
      </c>
      <c r="J773" s="55" t="s">
        <v>946</v>
      </c>
      <c r="K773" s="56" t="s">
        <v>945</v>
      </c>
      <c r="L773" s="140" t="s">
        <v>400</v>
      </c>
    </row>
    <row r="774" spans="7:12" x14ac:dyDescent="0.2">
      <c r="G774" s="55" t="s">
        <v>860</v>
      </c>
      <c r="H774" s="55" t="s">
        <v>383</v>
      </c>
      <c r="I774" s="55" t="s">
        <v>643</v>
      </c>
      <c r="J774" s="55" t="s">
        <v>947</v>
      </c>
      <c r="K774" s="56" t="s">
        <v>945</v>
      </c>
      <c r="L774" s="140" t="s">
        <v>380</v>
      </c>
    </row>
    <row r="775" spans="7:12" x14ac:dyDescent="0.2">
      <c r="G775" s="55" t="s">
        <v>161</v>
      </c>
      <c r="H775" s="55" t="s">
        <v>213</v>
      </c>
      <c r="I775" s="55" t="s">
        <v>176</v>
      </c>
      <c r="J775" s="55" t="s">
        <v>948</v>
      </c>
      <c r="K775" s="56" t="s">
        <v>949</v>
      </c>
      <c r="L775" s="140" t="s">
        <v>398</v>
      </c>
    </row>
    <row r="776" spans="7:12" x14ac:dyDescent="0.2">
      <c r="G776" s="55" t="s">
        <v>860</v>
      </c>
      <c r="H776" s="55" t="s">
        <v>257</v>
      </c>
      <c r="I776" s="55" t="s">
        <v>698</v>
      </c>
      <c r="J776" s="55" t="s">
        <v>950</v>
      </c>
      <c r="K776" s="56" t="s">
        <v>949</v>
      </c>
      <c r="L776" s="140" t="s">
        <v>360</v>
      </c>
    </row>
    <row r="777" spans="7:12" x14ac:dyDescent="0.2">
      <c r="G777" s="55" t="s">
        <v>860</v>
      </c>
      <c r="H777" s="55" t="s">
        <v>205</v>
      </c>
      <c r="I777" s="55" t="s">
        <v>698</v>
      </c>
      <c r="J777" s="55" t="s">
        <v>951</v>
      </c>
      <c r="K777" s="56" t="s">
        <v>952</v>
      </c>
      <c r="L777" s="140" t="s">
        <v>360</v>
      </c>
    </row>
    <row r="778" spans="7:12" x14ac:dyDescent="0.2">
      <c r="G778" s="55" t="s">
        <v>31</v>
      </c>
      <c r="H778" s="55" t="s">
        <v>205</v>
      </c>
      <c r="I778" s="55" t="s">
        <v>698</v>
      </c>
      <c r="J778" s="55" t="s">
        <v>953</v>
      </c>
      <c r="K778" s="56" t="s">
        <v>952</v>
      </c>
      <c r="L778" s="140" t="s">
        <v>360</v>
      </c>
    </row>
    <row r="779" spans="7:12" x14ac:dyDescent="0.2">
      <c r="G779" s="55" t="s">
        <v>860</v>
      </c>
      <c r="H779" s="55" t="s">
        <v>192</v>
      </c>
      <c r="I779" s="55" t="s">
        <v>157</v>
      </c>
      <c r="J779" s="55" t="s">
        <v>954</v>
      </c>
      <c r="K779" s="56" t="s">
        <v>952</v>
      </c>
      <c r="L779" s="140" t="s">
        <v>380</v>
      </c>
    </row>
    <row r="780" spans="7:12" x14ac:dyDescent="0.2">
      <c r="G780" s="55" t="s">
        <v>860</v>
      </c>
      <c r="H780" s="55" t="s">
        <v>529</v>
      </c>
      <c r="I780" s="55" t="s">
        <v>169</v>
      </c>
      <c r="J780" s="55" t="s">
        <v>955</v>
      </c>
      <c r="K780" s="56" t="s">
        <v>952</v>
      </c>
      <c r="L780" s="140" t="s">
        <v>398</v>
      </c>
    </row>
    <row r="781" spans="7:12" x14ac:dyDescent="0.2">
      <c r="G781" s="55" t="s">
        <v>860</v>
      </c>
      <c r="H781" s="55" t="s">
        <v>751</v>
      </c>
      <c r="I781" s="55" t="s">
        <v>169</v>
      </c>
      <c r="J781" s="55" t="s">
        <v>932</v>
      </c>
      <c r="K781" s="56" t="s">
        <v>952</v>
      </c>
      <c r="L781" s="140" t="s">
        <v>398</v>
      </c>
    </row>
    <row r="782" spans="7:12" x14ac:dyDescent="0.2">
      <c r="G782" s="315" t="s">
        <v>720</v>
      </c>
      <c r="H782" s="315" t="s">
        <v>9</v>
      </c>
      <c r="I782" s="315" t="s">
        <v>163</v>
      </c>
      <c r="J782" s="315" t="s">
        <v>698</v>
      </c>
      <c r="K782" s="175" t="s">
        <v>956</v>
      </c>
      <c r="L782" s="317"/>
    </row>
    <row r="783" spans="7:12" x14ac:dyDescent="0.2">
      <c r="G783" s="315" t="s">
        <v>720</v>
      </c>
      <c r="H783" s="315" t="s">
        <v>9</v>
      </c>
      <c r="I783" s="315" t="s">
        <v>165</v>
      </c>
      <c r="J783" s="315" t="s">
        <v>698</v>
      </c>
      <c r="K783" s="175" t="s">
        <v>956</v>
      </c>
      <c r="L783" s="317"/>
    </row>
    <row r="784" spans="7:12" x14ac:dyDescent="0.2">
      <c r="G784" s="315" t="s">
        <v>720</v>
      </c>
      <c r="H784" s="315" t="s">
        <v>957</v>
      </c>
      <c r="I784" s="315" t="s">
        <v>155</v>
      </c>
      <c r="J784" s="315" t="s">
        <v>698</v>
      </c>
      <c r="K784" s="175" t="s">
        <v>956</v>
      </c>
      <c r="L784" s="317"/>
    </row>
    <row r="785" spans="7:12" x14ac:dyDescent="0.2">
      <c r="G785" s="315" t="s">
        <v>720</v>
      </c>
      <c r="H785" s="315" t="s">
        <v>957</v>
      </c>
      <c r="I785" s="315" t="s">
        <v>167</v>
      </c>
      <c r="J785" s="315" t="s">
        <v>698</v>
      </c>
      <c r="K785" s="175" t="s">
        <v>956</v>
      </c>
      <c r="L785" s="317"/>
    </row>
    <row r="786" spans="7:12" x14ac:dyDescent="0.2">
      <c r="G786" s="315" t="s">
        <v>720</v>
      </c>
      <c r="H786" s="315" t="s">
        <v>957</v>
      </c>
      <c r="I786" s="315" t="s">
        <v>697</v>
      </c>
      <c r="J786" s="315" t="s">
        <v>698</v>
      </c>
      <c r="K786" s="175" t="s">
        <v>956</v>
      </c>
      <c r="L786" s="317"/>
    </row>
    <row r="787" spans="7:12" x14ac:dyDescent="0.2">
      <c r="G787" s="315" t="s">
        <v>720</v>
      </c>
      <c r="H787" s="315" t="s">
        <v>957</v>
      </c>
      <c r="I787" s="315" t="s">
        <v>840</v>
      </c>
      <c r="J787" s="315" t="s">
        <v>698</v>
      </c>
      <c r="K787" s="175" t="s">
        <v>956</v>
      </c>
      <c r="L787" s="317"/>
    </row>
    <row r="788" spans="7:12" x14ac:dyDescent="0.2">
      <c r="G788" s="315" t="s">
        <v>720</v>
      </c>
      <c r="H788" s="315" t="s">
        <v>957</v>
      </c>
      <c r="I788" s="315" t="s">
        <v>643</v>
      </c>
      <c r="J788" s="315" t="s">
        <v>698</v>
      </c>
      <c r="K788" s="175" t="s">
        <v>956</v>
      </c>
      <c r="L788" s="317"/>
    </row>
    <row r="789" spans="7:12" x14ac:dyDescent="0.2">
      <c r="G789" s="315" t="s">
        <v>720</v>
      </c>
      <c r="H789" s="315" t="s">
        <v>957</v>
      </c>
      <c r="I789" s="315" t="s">
        <v>56</v>
      </c>
      <c r="J789" s="315" t="s">
        <v>698</v>
      </c>
      <c r="K789" s="175">
        <v>45970</v>
      </c>
      <c r="L789" s="317"/>
    </row>
    <row r="790" spans="7:12" x14ac:dyDescent="0.2">
      <c r="G790" s="315" t="s">
        <v>720</v>
      </c>
      <c r="H790" s="315" t="s">
        <v>957</v>
      </c>
      <c r="I790" s="315" t="s">
        <v>176</v>
      </c>
      <c r="J790" s="315" t="s">
        <v>698</v>
      </c>
      <c r="K790" s="175" t="s">
        <v>956</v>
      </c>
      <c r="L790" s="317"/>
    </row>
    <row r="791" spans="7:12" x14ac:dyDescent="0.2">
      <c r="G791" s="315" t="s">
        <v>720</v>
      </c>
      <c r="H791" s="315" t="s">
        <v>957</v>
      </c>
      <c r="I791" s="315" t="s">
        <v>838</v>
      </c>
      <c r="J791" s="315" t="s">
        <v>698</v>
      </c>
      <c r="K791" s="175" t="s">
        <v>956</v>
      </c>
      <c r="L791" s="317"/>
    </row>
    <row r="792" spans="7:12" x14ac:dyDescent="0.2">
      <c r="G792" s="315" t="s">
        <v>720</v>
      </c>
      <c r="H792" s="315" t="s">
        <v>957</v>
      </c>
      <c r="I792" s="315" t="s">
        <v>958</v>
      </c>
      <c r="J792" s="315" t="s">
        <v>698</v>
      </c>
      <c r="K792" s="175" t="s">
        <v>956</v>
      </c>
      <c r="L792" s="317"/>
    </row>
    <row r="793" spans="7:12" x14ac:dyDescent="0.2">
      <c r="G793" s="315" t="s">
        <v>720</v>
      </c>
      <c r="H793" s="315" t="s">
        <v>957</v>
      </c>
      <c r="I793" s="315" t="s">
        <v>877</v>
      </c>
      <c r="J793" s="315" t="s">
        <v>698</v>
      </c>
      <c r="K793" s="175" t="s">
        <v>956</v>
      </c>
      <c r="L793" s="317"/>
    </row>
    <row r="794" spans="7:12" x14ac:dyDescent="0.2">
      <c r="G794" s="315" t="s">
        <v>720</v>
      </c>
      <c r="H794" s="315" t="s">
        <v>957</v>
      </c>
      <c r="I794" s="315" t="s">
        <v>177</v>
      </c>
      <c r="J794" s="315" t="s">
        <v>698</v>
      </c>
      <c r="K794" s="175" t="s">
        <v>959</v>
      </c>
      <c r="L794" s="317"/>
    </row>
    <row r="795" spans="7:12" x14ac:dyDescent="0.2">
      <c r="G795" s="315" t="s">
        <v>720</v>
      </c>
      <c r="H795" s="315" t="s">
        <v>957</v>
      </c>
      <c r="I795" s="315" t="s">
        <v>908</v>
      </c>
      <c r="J795" s="315" t="s">
        <v>698</v>
      </c>
      <c r="K795" s="175" t="s">
        <v>959</v>
      </c>
      <c r="L795" s="317"/>
    </row>
    <row r="796" spans="7:12" x14ac:dyDescent="0.2">
      <c r="G796" s="315" t="s">
        <v>720</v>
      </c>
      <c r="H796" s="315" t="s">
        <v>960</v>
      </c>
      <c r="I796" s="315" t="s">
        <v>159</v>
      </c>
      <c r="J796" s="315" t="s">
        <v>698</v>
      </c>
      <c r="K796" s="175" t="s">
        <v>959</v>
      </c>
      <c r="L796" s="317"/>
    </row>
    <row r="797" spans="7:12" x14ac:dyDescent="0.2">
      <c r="G797" s="315" t="s">
        <v>720</v>
      </c>
      <c r="H797" s="315" t="s">
        <v>957</v>
      </c>
      <c r="I797" s="315" t="s">
        <v>171</v>
      </c>
      <c r="J797" s="315" t="s">
        <v>698</v>
      </c>
      <c r="K797" s="175" t="s">
        <v>959</v>
      </c>
      <c r="L797" s="317"/>
    </row>
    <row r="798" spans="7:12" x14ac:dyDescent="0.2">
      <c r="G798" s="315" t="s">
        <v>161</v>
      </c>
      <c r="H798" s="315" t="s">
        <v>656</v>
      </c>
      <c r="I798" s="315" t="s">
        <v>961</v>
      </c>
      <c r="J798" s="315" t="s">
        <v>695</v>
      </c>
      <c r="K798" s="175" t="s">
        <v>962</v>
      </c>
      <c r="L798" s="317"/>
    </row>
    <row r="799" spans="7:12" x14ac:dyDescent="0.2">
      <c r="G799" s="61" t="s">
        <v>963</v>
      </c>
      <c r="H799" s="61" t="s">
        <v>963</v>
      </c>
      <c r="I799" s="61" t="s">
        <v>963</v>
      </c>
      <c r="J799" s="61" t="s">
        <v>963</v>
      </c>
      <c r="K799" s="216" t="s">
        <v>963</v>
      </c>
      <c r="L799" s="61" t="s">
        <v>963</v>
      </c>
    </row>
    <row r="800" spans="7:12" x14ac:dyDescent="0.2">
      <c r="G800" s="55" t="s">
        <v>860</v>
      </c>
      <c r="H800" s="55" t="s">
        <v>230</v>
      </c>
      <c r="I800" s="55" t="s">
        <v>167</v>
      </c>
      <c r="J800" s="55" t="s">
        <v>964</v>
      </c>
      <c r="K800" s="56" t="s">
        <v>965</v>
      </c>
      <c r="L800" s="140" t="s">
        <v>398</v>
      </c>
    </row>
    <row r="801" spans="7:12" x14ac:dyDescent="0.2">
      <c r="G801" s="55" t="s">
        <v>942</v>
      </c>
      <c r="H801" s="55" t="s">
        <v>205</v>
      </c>
      <c r="I801" s="55" t="s">
        <v>966</v>
      </c>
      <c r="J801" s="55" t="s">
        <v>919</v>
      </c>
      <c r="K801" s="56" t="s">
        <v>967</v>
      </c>
      <c r="L801" s="140" t="s">
        <v>398</v>
      </c>
    </row>
    <row r="802" spans="7:12" x14ac:dyDescent="0.2">
      <c r="G802" s="55" t="s">
        <v>860</v>
      </c>
      <c r="H802" s="55" t="s">
        <v>205</v>
      </c>
      <c r="I802" s="55" t="s">
        <v>698</v>
      </c>
      <c r="J802" s="55" t="s">
        <v>919</v>
      </c>
      <c r="K802" s="56" t="s">
        <v>967</v>
      </c>
      <c r="L802" s="140" t="s">
        <v>360</v>
      </c>
    </row>
    <row r="803" spans="7:12" x14ac:dyDescent="0.2">
      <c r="G803" s="55" t="s">
        <v>860</v>
      </c>
      <c r="H803" s="55" t="s">
        <v>230</v>
      </c>
      <c r="I803" s="55" t="s">
        <v>167</v>
      </c>
      <c r="J803" s="55" t="s">
        <v>968</v>
      </c>
      <c r="K803" s="56" t="s">
        <v>967</v>
      </c>
      <c r="L803" s="140" t="s">
        <v>400</v>
      </c>
    </row>
    <row r="804" spans="7:12" x14ac:dyDescent="0.2">
      <c r="G804" s="55" t="s">
        <v>860</v>
      </c>
      <c r="H804" s="55" t="s">
        <v>192</v>
      </c>
      <c r="I804" s="55" t="s">
        <v>838</v>
      </c>
      <c r="J804" s="157" t="s">
        <v>969</v>
      </c>
      <c r="K804" s="56" t="s">
        <v>967</v>
      </c>
      <c r="L804" s="140" t="s">
        <v>380</v>
      </c>
    </row>
    <row r="805" spans="7:12" x14ac:dyDescent="0.2">
      <c r="G805" s="55" t="s">
        <v>31</v>
      </c>
      <c r="H805" s="55" t="s">
        <v>230</v>
      </c>
      <c r="I805" s="55" t="s">
        <v>908</v>
      </c>
      <c r="J805" s="55" t="s">
        <v>970</v>
      </c>
      <c r="K805" s="56" t="s">
        <v>971</v>
      </c>
      <c r="L805" s="140" t="s">
        <v>380</v>
      </c>
    </row>
    <row r="806" spans="7:12" x14ac:dyDescent="0.2">
      <c r="G806" s="55" t="s">
        <v>860</v>
      </c>
      <c r="H806" s="55" t="s">
        <v>529</v>
      </c>
      <c r="I806" s="55" t="s">
        <v>169</v>
      </c>
      <c r="J806" s="55" t="s">
        <v>972</v>
      </c>
      <c r="K806" s="56" t="s">
        <v>971</v>
      </c>
      <c r="L806" s="140" t="s">
        <v>398</v>
      </c>
    </row>
    <row r="807" spans="7:12" x14ac:dyDescent="0.2">
      <c r="G807" s="55" t="s">
        <v>860</v>
      </c>
      <c r="H807" s="55" t="s">
        <v>751</v>
      </c>
      <c r="I807" s="55" t="s">
        <v>169</v>
      </c>
      <c r="J807" s="55" t="s">
        <v>775</v>
      </c>
      <c r="K807" s="56" t="s">
        <v>971</v>
      </c>
      <c r="L807" s="140" t="s">
        <v>380</v>
      </c>
    </row>
    <row r="808" spans="7:12" x14ac:dyDescent="0.2">
      <c r="G808" s="55" t="s">
        <v>860</v>
      </c>
      <c r="H808" s="55" t="s">
        <v>202</v>
      </c>
      <c r="I808" s="55" t="s">
        <v>877</v>
      </c>
      <c r="J808" s="55" t="s">
        <v>973</v>
      </c>
      <c r="K808" s="56" t="s">
        <v>971</v>
      </c>
      <c r="L808" s="140" t="s">
        <v>380</v>
      </c>
    </row>
    <row r="809" spans="7:12" x14ac:dyDescent="0.2">
      <c r="G809" s="55" t="s">
        <v>860</v>
      </c>
      <c r="H809" s="55" t="s">
        <v>383</v>
      </c>
      <c r="I809" s="55" t="s">
        <v>169</v>
      </c>
      <c r="J809" s="55" t="s">
        <v>974</v>
      </c>
      <c r="K809" s="56" t="s">
        <v>975</v>
      </c>
      <c r="L809" s="140" t="s">
        <v>360</v>
      </c>
    </row>
    <row r="810" spans="7:12" x14ac:dyDescent="0.2">
      <c r="G810" s="315" t="s">
        <v>161</v>
      </c>
      <c r="H810" s="315" t="s">
        <v>782</v>
      </c>
      <c r="I810" s="315" t="s">
        <v>961</v>
      </c>
      <c r="J810" s="315" t="s">
        <v>698</v>
      </c>
      <c r="K810" s="175" t="s">
        <v>971</v>
      </c>
      <c r="L810" s="317"/>
    </row>
    <row r="811" spans="7:12" x14ac:dyDescent="0.2">
      <c r="G811" s="315" t="s">
        <v>161</v>
      </c>
      <c r="H811" s="315" t="s">
        <v>782</v>
      </c>
      <c r="I811" s="315" t="s">
        <v>976</v>
      </c>
      <c r="J811" s="315" t="s">
        <v>698</v>
      </c>
      <c r="K811" s="175" t="s">
        <v>975</v>
      </c>
      <c r="L811" s="317"/>
    </row>
    <row r="812" spans="7:12" x14ac:dyDescent="0.2">
      <c r="G812" s="315" t="s">
        <v>161</v>
      </c>
      <c r="H812" s="315" t="s">
        <v>656</v>
      </c>
      <c r="I812" s="315" t="s">
        <v>977</v>
      </c>
      <c r="J812" s="315" t="s">
        <v>695</v>
      </c>
      <c r="K812" s="175" t="s">
        <v>975</v>
      </c>
      <c r="L812" s="317"/>
    </row>
    <row r="813" spans="7:12" x14ac:dyDescent="0.2">
      <c r="G813" s="61" t="s">
        <v>978</v>
      </c>
      <c r="H813" s="61" t="s">
        <v>978</v>
      </c>
      <c r="I813" s="61" t="s">
        <v>978</v>
      </c>
      <c r="J813" s="61" t="s">
        <v>978</v>
      </c>
      <c r="K813" s="216" t="s">
        <v>978</v>
      </c>
      <c r="L813" s="61" t="s">
        <v>978</v>
      </c>
    </row>
    <row r="814" spans="7:12" x14ac:dyDescent="0.2">
      <c r="G814" s="55" t="s">
        <v>31</v>
      </c>
      <c r="H814" s="55" t="s">
        <v>202</v>
      </c>
      <c r="I814" s="55" t="s">
        <v>177</v>
      </c>
      <c r="J814" s="55" t="s">
        <v>979</v>
      </c>
      <c r="K814" s="56" t="s">
        <v>980</v>
      </c>
      <c r="L814" s="140" t="s">
        <v>380</v>
      </c>
    </row>
    <row r="815" spans="7:12" x14ac:dyDescent="0.2">
      <c r="G815" s="55" t="s">
        <v>981</v>
      </c>
      <c r="H815" s="55" t="s">
        <v>390</v>
      </c>
      <c r="I815" s="55" t="s">
        <v>847</v>
      </c>
      <c r="J815" s="55" t="s">
        <v>982</v>
      </c>
      <c r="K815" s="56" t="s">
        <v>983</v>
      </c>
      <c r="L815" s="140" t="s">
        <v>360</v>
      </c>
    </row>
    <row r="816" spans="7:12" x14ac:dyDescent="0.2">
      <c r="G816" s="55" t="s">
        <v>860</v>
      </c>
      <c r="H816" s="55" t="s">
        <v>202</v>
      </c>
      <c r="I816" s="55" t="s">
        <v>877</v>
      </c>
      <c r="J816" s="55" t="s">
        <v>984</v>
      </c>
      <c r="K816" s="56" t="s">
        <v>983</v>
      </c>
      <c r="L816" s="140" t="s">
        <v>400</v>
      </c>
    </row>
    <row r="817" spans="7:12" x14ac:dyDescent="0.2">
      <c r="G817" s="55" t="s">
        <v>860</v>
      </c>
      <c r="H817" s="55" t="s">
        <v>358</v>
      </c>
      <c r="I817" s="55" t="s">
        <v>877</v>
      </c>
      <c r="J817" s="55" t="s">
        <v>985</v>
      </c>
      <c r="K817" s="56" t="s">
        <v>983</v>
      </c>
      <c r="L817" s="140" t="s">
        <v>398</v>
      </c>
    </row>
    <row r="818" spans="7:12" x14ac:dyDescent="0.2">
      <c r="G818" s="55" t="s">
        <v>31</v>
      </c>
      <c r="H818" s="55" t="s">
        <v>192</v>
      </c>
      <c r="I818" s="55" t="s">
        <v>546</v>
      </c>
      <c r="J818" s="55" t="s">
        <v>986</v>
      </c>
      <c r="K818" s="56" t="s">
        <v>983</v>
      </c>
      <c r="L818" s="140" t="s">
        <v>398</v>
      </c>
    </row>
    <row r="819" spans="7:12" x14ac:dyDescent="0.2">
      <c r="G819" s="55" t="s">
        <v>31</v>
      </c>
      <c r="H819" s="55" t="s">
        <v>205</v>
      </c>
      <c r="I819" s="55" t="s">
        <v>908</v>
      </c>
      <c r="J819" s="55" t="s">
        <v>987</v>
      </c>
      <c r="K819" s="56">
        <v>45931</v>
      </c>
      <c r="L819" s="140" t="s">
        <v>400</v>
      </c>
    </row>
    <row r="820" spans="7:12" x14ac:dyDescent="0.2">
      <c r="G820" s="55" t="s">
        <v>860</v>
      </c>
      <c r="H820" s="55" t="s">
        <v>192</v>
      </c>
      <c r="I820" s="55" t="s">
        <v>838</v>
      </c>
      <c r="J820" s="157" t="s">
        <v>988</v>
      </c>
      <c r="K820" s="56">
        <v>45667</v>
      </c>
      <c r="L820" s="140" t="s">
        <v>380</v>
      </c>
    </row>
    <row r="821" spans="7:12" x14ac:dyDescent="0.2">
      <c r="G821" s="55" t="s">
        <v>860</v>
      </c>
      <c r="H821" s="55" t="s">
        <v>383</v>
      </c>
      <c r="I821" s="55" t="s">
        <v>169</v>
      </c>
      <c r="J821" s="55" t="s">
        <v>989</v>
      </c>
      <c r="K821" s="56">
        <v>45667</v>
      </c>
      <c r="L821" s="140" t="s">
        <v>380</v>
      </c>
    </row>
    <row r="822" spans="7:12" x14ac:dyDescent="0.2">
      <c r="G822" s="55" t="s">
        <v>860</v>
      </c>
      <c r="H822" s="55" t="s">
        <v>192</v>
      </c>
      <c r="I822" s="55" t="s">
        <v>157</v>
      </c>
      <c r="J822" s="55" t="s">
        <v>990</v>
      </c>
      <c r="K822" s="56">
        <v>45667</v>
      </c>
      <c r="L822" s="140" t="s">
        <v>380</v>
      </c>
    </row>
    <row r="823" spans="7:12" x14ac:dyDescent="0.2">
      <c r="G823" s="55" t="s">
        <v>981</v>
      </c>
      <c r="H823" s="55" t="s">
        <v>286</v>
      </c>
      <c r="I823" s="55" t="s">
        <v>176</v>
      </c>
      <c r="J823" s="55" t="s">
        <v>991</v>
      </c>
      <c r="K823" s="56">
        <v>45698</v>
      </c>
      <c r="L823" s="140" t="s">
        <v>398</v>
      </c>
    </row>
    <row r="824" spans="7:12" x14ac:dyDescent="0.2">
      <c r="G824" s="55" t="s">
        <v>860</v>
      </c>
      <c r="H824" s="55" t="s">
        <v>205</v>
      </c>
      <c r="I824" s="55" t="s">
        <v>167</v>
      </c>
      <c r="J824" s="55" t="s">
        <v>992</v>
      </c>
      <c r="K824" s="56">
        <v>45698</v>
      </c>
      <c r="L824" s="140" t="s">
        <v>398</v>
      </c>
    </row>
    <row r="825" spans="7:12" x14ac:dyDescent="0.2">
      <c r="G825" s="55" t="s">
        <v>31</v>
      </c>
      <c r="H825" s="55" t="s">
        <v>205</v>
      </c>
      <c r="I825" s="55" t="s">
        <v>830</v>
      </c>
      <c r="J825" s="55" t="s">
        <v>993</v>
      </c>
      <c r="K825" s="56">
        <v>45698</v>
      </c>
      <c r="L825" s="140" t="s">
        <v>360</v>
      </c>
    </row>
    <row r="826" spans="7:12" x14ac:dyDescent="0.2">
      <c r="G826" s="55" t="s">
        <v>942</v>
      </c>
      <c r="H826" s="55" t="s">
        <v>205</v>
      </c>
      <c r="I826" s="55" t="s">
        <v>966</v>
      </c>
      <c r="J826" s="55" t="s">
        <v>994</v>
      </c>
      <c r="K826" s="56">
        <v>45698</v>
      </c>
      <c r="L826" s="140" t="s">
        <v>380</v>
      </c>
    </row>
    <row r="827" spans="7:12" x14ac:dyDescent="0.2">
      <c r="G827" s="55" t="s">
        <v>161</v>
      </c>
      <c r="H827" s="55" t="s">
        <v>250</v>
      </c>
      <c r="I827" s="55" t="s">
        <v>157</v>
      </c>
      <c r="J827" s="55" t="s">
        <v>995</v>
      </c>
      <c r="K827" s="56">
        <v>45726</v>
      </c>
      <c r="L827" s="140" t="s">
        <v>398</v>
      </c>
    </row>
    <row r="828" spans="7:12" x14ac:dyDescent="0.2">
      <c r="G828" s="55" t="s">
        <v>860</v>
      </c>
      <c r="H828" s="55" t="s">
        <v>202</v>
      </c>
      <c r="I828" s="55" t="s">
        <v>698</v>
      </c>
      <c r="J828" s="55" t="s">
        <v>996</v>
      </c>
      <c r="K828" s="56">
        <v>45726</v>
      </c>
      <c r="L828" s="140" t="s">
        <v>360</v>
      </c>
    </row>
    <row r="829" spans="7:12" x14ac:dyDescent="0.2">
      <c r="G829" s="315" t="s">
        <v>161</v>
      </c>
      <c r="H829" s="315" t="s">
        <v>782</v>
      </c>
      <c r="I829" s="315" t="s">
        <v>977</v>
      </c>
      <c r="J829" s="315" t="s">
        <v>698</v>
      </c>
      <c r="K829" s="175">
        <v>45726</v>
      </c>
      <c r="L829" s="317"/>
    </row>
    <row r="830" spans="7:12" x14ac:dyDescent="0.2">
      <c r="G830" s="61" t="s">
        <v>997</v>
      </c>
      <c r="H830" s="61" t="s">
        <v>997</v>
      </c>
      <c r="I830" s="61" t="s">
        <v>997</v>
      </c>
      <c r="J830" s="61" t="s">
        <v>997</v>
      </c>
      <c r="K830" s="216" t="s">
        <v>997</v>
      </c>
      <c r="L830" s="61" t="s">
        <v>997</v>
      </c>
    </row>
    <row r="831" spans="7:12" x14ac:dyDescent="0.2">
      <c r="G831" s="55" t="s">
        <v>860</v>
      </c>
      <c r="H831" s="55" t="s">
        <v>250</v>
      </c>
      <c r="I831" s="55" t="s">
        <v>157</v>
      </c>
      <c r="J831" s="55" t="s">
        <v>998</v>
      </c>
      <c r="K831" s="56">
        <v>45818</v>
      </c>
      <c r="L831" s="140" t="s">
        <v>398</v>
      </c>
    </row>
    <row r="832" spans="7:12" x14ac:dyDescent="0.2">
      <c r="G832" s="55" t="s">
        <v>860</v>
      </c>
      <c r="H832" s="55" t="s">
        <v>892</v>
      </c>
      <c r="I832" s="55" t="s">
        <v>643</v>
      </c>
      <c r="J832" s="55" t="s">
        <v>999</v>
      </c>
      <c r="K832" s="56">
        <v>45818</v>
      </c>
      <c r="L832" s="140" t="s">
        <v>380</v>
      </c>
    </row>
    <row r="833" spans="7:12" x14ac:dyDescent="0.2">
      <c r="G833" s="55" t="s">
        <v>860</v>
      </c>
      <c r="H833" s="55" t="s">
        <v>892</v>
      </c>
      <c r="I833" s="55" t="s">
        <v>167</v>
      </c>
      <c r="J833" s="55" t="s">
        <v>1000</v>
      </c>
      <c r="K833" s="56">
        <v>45818</v>
      </c>
      <c r="L833" s="140" t="s">
        <v>380</v>
      </c>
    </row>
    <row r="834" spans="7:12" x14ac:dyDescent="0.2">
      <c r="G834" s="55" t="s">
        <v>31</v>
      </c>
      <c r="H834" s="55" t="s">
        <v>230</v>
      </c>
      <c r="I834" s="55" t="s">
        <v>55</v>
      </c>
      <c r="J834" s="55" t="s">
        <v>1001</v>
      </c>
      <c r="K834" s="56">
        <v>45818</v>
      </c>
      <c r="L834" s="140" t="s">
        <v>380</v>
      </c>
    </row>
    <row r="835" spans="7:12" x14ac:dyDescent="0.2">
      <c r="G835" s="55" t="s">
        <v>914</v>
      </c>
      <c r="H835" s="55" t="s">
        <v>213</v>
      </c>
      <c r="I835" s="55" t="s">
        <v>174</v>
      </c>
      <c r="J835" s="55" t="s">
        <v>1002</v>
      </c>
      <c r="K835" s="56">
        <v>45848</v>
      </c>
      <c r="L835" s="140"/>
    </row>
    <row r="836" spans="7:12" x14ac:dyDescent="0.2">
      <c r="G836" s="55" t="s">
        <v>31</v>
      </c>
      <c r="H836" s="55" t="s">
        <v>205</v>
      </c>
      <c r="I836" s="55" t="s">
        <v>908</v>
      </c>
      <c r="J836" s="55" t="s">
        <v>444</v>
      </c>
      <c r="K836" s="56">
        <v>45848</v>
      </c>
      <c r="L836" s="140" t="s">
        <v>380</v>
      </c>
    </row>
    <row r="837" spans="7:12" x14ac:dyDescent="0.2">
      <c r="G837" s="55" t="s">
        <v>860</v>
      </c>
      <c r="H837" s="55" t="s">
        <v>250</v>
      </c>
      <c r="I837" s="55" t="s">
        <v>698</v>
      </c>
      <c r="J837" s="55" t="s">
        <v>1003</v>
      </c>
      <c r="K837" s="56">
        <v>45879</v>
      </c>
      <c r="L837" s="140" t="s">
        <v>360</v>
      </c>
    </row>
    <row r="838" spans="7:12" x14ac:dyDescent="0.2">
      <c r="G838" s="55" t="s">
        <v>981</v>
      </c>
      <c r="H838" s="55" t="s">
        <v>250</v>
      </c>
      <c r="I838" s="55" t="s">
        <v>179</v>
      </c>
      <c r="J838" s="55" t="s">
        <v>1004</v>
      </c>
      <c r="K838" s="56">
        <v>45879</v>
      </c>
      <c r="L838" s="140" t="s">
        <v>380</v>
      </c>
    </row>
    <row r="839" spans="7:12" x14ac:dyDescent="0.2">
      <c r="G839" s="55" t="s">
        <v>31</v>
      </c>
      <c r="H839" s="55" t="s">
        <v>230</v>
      </c>
      <c r="I839" s="55" t="s">
        <v>55</v>
      </c>
      <c r="J839" s="55" t="s">
        <v>1005</v>
      </c>
      <c r="K839" s="56">
        <v>45879</v>
      </c>
      <c r="L839" s="140" t="s">
        <v>1006</v>
      </c>
    </row>
    <row r="840" spans="7:12" x14ac:dyDescent="0.2">
      <c r="G840" s="55" t="s">
        <v>981</v>
      </c>
      <c r="H840" s="55" t="s">
        <v>205</v>
      </c>
      <c r="I840" s="55" t="s">
        <v>977</v>
      </c>
      <c r="J840" s="55" t="s">
        <v>1007</v>
      </c>
      <c r="K840" s="56">
        <v>45910</v>
      </c>
      <c r="L840" s="140" t="s">
        <v>398</v>
      </c>
    </row>
    <row r="841" spans="7:12" x14ac:dyDescent="0.2">
      <c r="G841" s="55" t="s">
        <v>31</v>
      </c>
      <c r="H841" s="55" t="s">
        <v>230</v>
      </c>
      <c r="I841" s="55" t="s">
        <v>55</v>
      </c>
      <c r="J841" s="55" t="s">
        <v>1008</v>
      </c>
      <c r="K841" s="56">
        <v>45910</v>
      </c>
      <c r="L841" s="140" t="s">
        <v>1006</v>
      </c>
    </row>
    <row r="842" spans="7:12" x14ac:dyDescent="0.2">
      <c r="G842" s="55" t="s">
        <v>860</v>
      </c>
      <c r="H842" s="55" t="s">
        <v>529</v>
      </c>
      <c r="I842" s="55" t="s">
        <v>1009</v>
      </c>
      <c r="J842" s="55" t="s">
        <v>1010</v>
      </c>
      <c r="K842" s="56">
        <v>45940</v>
      </c>
      <c r="L842" s="140" t="s">
        <v>360</v>
      </c>
    </row>
    <row r="843" spans="7:12" x14ac:dyDescent="0.2">
      <c r="G843" s="55" t="s">
        <v>860</v>
      </c>
      <c r="H843" s="55" t="s">
        <v>383</v>
      </c>
      <c r="I843" s="55" t="s">
        <v>1009</v>
      </c>
      <c r="J843" s="55" t="s">
        <v>1011</v>
      </c>
      <c r="K843" s="56">
        <v>45940</v>
      </c>
      <c r="L843" s="140" t="s">
        <v>360</v>
      </c>
    </row>
    <row r="844" spans="7:12" x14ac:dyDescent="0.2">
      <c r="G844" s="315" t="s">
        <v>981</v>
      </c>
      <c r="H844" s="315" t="s">
        <v>656</v>
      </c>
      <c r="I844" s="315" t="s">
        <v>1012</v>
      </c>
      <c r="J844" s="315" t="s">
        <v>698</v>
      </c>
      <c r="K844" s="175">
        <v>45879</v>
      </c>
      <c r="L844" s="317"/>
    </row>
    <row r="845" spans="7:12" x14ac:dyDescent="0.2">
      <c r="G845" s="61" t="s">
        <v>1013</v>
      </c>
      <c r="H845" s="61" t="s">
        <v>1013</v>
      </c>
      <c r="I845" s="61" t="s">
        <v>1013</v>
      </c>
      <c r="J845" s="61" t="s">
        <v>1013</v>
      </c>
      <c r="K845" s="216" t="s">
        <v>1013</v>
      </c>
      <c r="L845" s="61" t="s">
        <v>1013</v>
      </c>
    </row>
    <row r="846" spans="7:12" x14ac:dyDescent="0.2">
      <c r="G846" s="55" t="s">
        <v>860</v>
      </c>
      <c r="H846" s="55" t="s">
        <v>202</v>
      </c>
      <c r="I846" s="55" t="s">
        <v>167</v>
      </c>
      <c r="J846" s="55" t="s">
        <v>1014</v>
      </c>
      <c r="K846" s="56" t="s">
        <v>1015</v>
      </c>
      <c r="L846" s="140" t="s">
        <v>398</v>
      </c>
    </row>
    <row r="847" spans="7:12" x14ac:dyDescent="0.2">
      <c r="G847" s="55" t="s">
        <v>860</v>
      </c>
      <c r="H847" s="55" t="s">
        <v>383</v>
      </c>
      <c r="I847" s="55" t="s">
        <v>643</v>
      </c>
      <c r="J847" s="55" t="s">
        <v>947</v>
      </c>
      <c r="K847" s="56" t="s">
        <v>1015</v>
      </c>
      <c r="L847" s="140" t="s">
        <v>380</v>
      </c>
    </row>
    <row r="848" spans="7:12" x14ac:dyDescent="0.2">
      <c r="G848" s="55" t="s">
        <v>860</v>
      </c>
      <c r="H848" s="55" t="s">
        <v>202</v>
      </c>
      <c r="I848" s="55" t="s">
        <v>167</v>
      </c>
      <c r="J848" s="55" t="s">
        <v>1016</v>
      </c>
      <c r="K848" s="56" t="s">
        <v>1015</v>
      </c>
      <c r="L848" s="140" t="s">
        <v>360</v>
      </c>
    </row>
    <row r="849" spans="7:12" x14ac:dyDescent="0.2">
      <c r="G849" s="55" t="s">
        <v>860</v>
      </c>
      <c r="H849" s="55" t="s">
        <v>202</v>
      </c>
      <c r="I849" s="55" t="s">
        <v>157</v>
      </c>
      <c r="J849" s="55" t="s">
        <v>1016</v>
      </c>
      <c r="K849" s="56" t="s">
        <v>1015</v>
      </c>
      <c r="L849" s="140" t="s">
        <v>380</v>
      </c>
    </row>
    <row r="850" spans="7:12" x14ac:dyDescent="0.2">
      <c r="G850" s="55" t="s">
        <v>860</v>
      </c>
      <c r="H850" s="55" t="s">
        <v>202</v>
      </c>
      <c r="I850" s="55" t="s">
        <v>157</v>
      </c>
      <c r="J850" s="55" t="s">
        <v>1017</v>
      </c>
      <c r="K850" s="56" t="s">
        <v>1018</v>
      </c>
      <c r="L850" s="140" t="s">
        <v>380</v>
      </c>
    </row>
    <row r="851" spans="7:12" x14ac:dyDescent="0.2">
      <c r="G851" s="55" t="s">
        <v>31</v>
      </c>
      <c r="H851" s="55" t="s">
        <v>205</v>
      </c>
      <c r="I851" s="55" t="s">
        <v>55</v>
      </c>
      <c r="J851" s="55" t="s">
        <v>1019</v>
      </c>
      <c r="K851" s="56" t="s">
        <v>1018</v>
      </c>
      <c r="L851" s="140" t="s">
        <v>360</v>
      </c>
    </row>
    <row r="852" spans="7:12" x14ac:dyDescent="0.2">
      <c r="G852" s="55" t="s">
        <v>31</v>
      </c>
      <c r="H852" s="55" t="s">
        <v>205</v>
      </c>
      <c r="I852" s="55" t="s">
        <v>55</v>
      </c>
      <c r="J852" s="55" t="s">
        <v>1020</v>
      </c>
      <c r="K852" s="56" t="s">
        <v>1018</v>
      </c>
      <c r="L852" s="140" t="s">
        <v>1006</v>
      </c>
    </row>
    <row r="853" spans="7:12" x14ac:dyDescent="0.2">
      <c r="G853" s="55" t="s">
        <v>31</v>
      </c>
      <c r="H853" s="55" t="s">
        <v>205</v>
      </c>
      <c r="I853" s="55" t="s">
        <v>55</v>
      </c>
      <c r="J853" s="55" t="s">
        <v>1021</v>
      </c>
      <c r="K853" s="56" t="s">
        <v>1018</v>
      </c>
      <c r="L853" s="140" t="s">
        <v>1006</v>
      </c>
    </row>
    <row r="854" spans="7:12" x14ac:dyDescent="0.2">
      <c r="G854" s="55" t="s">
        <v>31</v>
      </c>
      <c r="H854" s="55" t="s">
        <v>205</v>
      </c>
      <c r="I854" s="55" t="s">
        <v>55</v>
      </c>
      <c r="J854" s="55" t="s">
        <v>993</v>
      </c>
      <c r="K854" s="56" t="s">
        <v>1018</v>
      </c>
      <c r="L854" s="140" t="s">
        <v>360</v>
      </c>
    </row>
    <row r="855" spans="7:12" x14ac:dyDescent="0.2">
      <c r="G855" s="55" t="s">
        <v>31</v>
      </c>
      <c r="H855" s="55" t="s">
        <v>192</v>
      </c>
      <c r="I855" s="55" t="s">
        <v>177</v>
      </c>
      <c r="J855" s="55" t="s">
        <v>1022</v>
      </c>
      <c r="K855" s="56" t="s">
        <v>1018</v>
      </c>
      <c r="L855" s="140" t="s">
        <v>398</v>
      </c>
    </row>
    <row r="856" spans="7:12" x14ac:dyDescent="0.2">
      <c r="G856" s="55" t="s">
        <v>1023</v>
      </c>
      <c r="H856" s="55" t="s">
        <v>213</v>
      </c>
      <c r="I856" s="55" t="s">
        <v>885</v>
      </c>
      <c r="J856" s="55" t="s">
        <v>1024</v>
      </c>
      <c r="K856" s="56" t="s">
        <v>1018</v>
      </c>
      <c r="L856" s="140" t="s">
        <v>398</v>
      </c>
    </row>
    <row r="857" spans="7:12" x14ac:dyDescent="0.2">
      <c r="G857" s="55" t="s">
        <v>860</v>
      </c>
      <c r="H857" s="55" t="s">
        <v>293</v>
      </c>
      <c r="I857" s="55" t="s">
        <v>643</v>
      </c>
      <c r="J857" s="55" t="s">
        <v>1025</v>
      </c>
      <c r="K857" s="56" t="s">
        <v>1026</v>
      </c>
      <c r="L857" s="140" t="s">
        <v>380</v>
      </c>
    </row>
    <row r="858" spans="7:12" x14ac:dyDescent="0.2">
      <c r="G858" s="55" t="s">
        <v>1023</v>
      </c>
      <c r="H858" s="55" t="s">
        <v>213</v>
      </c>
      <c r="I858" s="55" t="s">
        <v>155</v>
      </c>
      <c r="J858" s="55" t="s">
        <v>1024</v>
      </c>
      <c r="K858" s="56" t="s">
        <v>1026</v>
      </c>
      <c r="L858" s="140" t="s">
        <v>380</v>
      </c>
    </row>
    <row r="859" spans="7:12" x14ac:dyDescent="0.2">
      <c r="G859" s="55" t="s">
        <v>860</v>
      </c>
      <c r="H859" s="55" t="s">
        <v>192</v>
      </c>
      <c r="I859" s="55" t="s">
        <v>838</v>
      </c>
      <c r="J859" s="55" t="s">
        <v>1027</v>
      </c>
      <c r="K859" s="56" t="s">
        <v>1028</v>
      </c>
      <c r="L859" s="140" t="s">
        <v>398</v>
      </c>
    </row>
    <row r="860" spans="7:12" x14ac:dyDescent="0.2">
      <c r="G860" s="55" t="s">
        <v>860</v>
      </c>
      <c r="H860" s="55" t="s">
        <v>205</v>
      </c>
      <c r="I860" s="55" t="s">
        <v>877</v>
      </c>
      <c r="J860" s="55" t="s">
        <v>1029</v>
      </c>
      <c r="K860" s="56" t="s">
        <v>1028</v>
      </c>
      <c r="L860" s="140" t="s">
        <v>398</v>
      </c>
    </row>
    <row r="861" spans="7:12" x14ac:dyDescent="0.2">
      <c r="G861" s="55" t="s">
        <v>914</v>
      </c>
      <c r="H861" s="55" t="s">
        <v>205</v>
      </c>
      <c r="I861" s="55" t="s">
        <v>56</v>
      </c>
      <c r="J861" s="55" t="s">
        <v>1030</v>
      </c>
      <c r="K861" s="56" t="s">
        <v>1031</v>
      </c>
      <c r="L861" s="140" t="s">
        <v>360</v>
      </c>
    </row>
    <row r="862" spans="7:12" x14ac:dyDescent="0.2">
      <c r="G862" s="55" t="s">
        <v>914</v>
      </c>
      <c r="H862" s="55" t="s">
        <v>205</v>
      </c>
      <c r="I862" s="55" t="s">
        <v>56</v>
      </c>
      <c r="J862" s="55" t="s">
        <v>1032</v>
      </c>
      <c r="K862" s="56" t="s">
        <v>1033</v>
      </c>
      <c r="L862" s="140" t="s">
        <v>360</v>
      </c>
    </row>
    <row r="863" spans="7:12" x14ac:dyDescent="0.2">
      <c r="G863" s="55" t="s">
        <v>981</v>
      </c>
      <c r="H863" s="55" t="s">
        <v>205</v>
      </c>
      <c r="I863" s="55" t="s">
        <v>847</v>
      </c>
      <c r="J863" s="55" t="s">
        <v>1034</v>
      </c>
      <c r="K863" s="56" t="s">
        <v>1035</v>
      </c>
      <c r="L863" s="140"/>
    </row>
    <row r="864" spans="7:12" x14ac:dyDescent="0.2">
      <c r="G864" s="55" t="s">
        <v>981</v>
      </c>
      <c r="H864" s="55" t="s">
        <v>205</v>
      </c>
      <c r="I864" s="55" t="s">
        <v>1036</v>
      </c>
      <c r="J864" s="55" t="s">
        <v>1037</v>
      </c>
      <c r="K864" s="56" t="s">
        <v>1035</v>
      </c>
      <c r="L864" s="140" t="s">
        <v>380</v>
      </c>
    </row>
    <row r="865" spans="7:12" x14ac:dyDescent="0.2">
      <c r="G865" s="55" t="s">
        <v>860</v>
      </c>
      <c r="H865" s="55" t="s">
        <v>383</v>
      </c>
      <c r="I865" s="55" t="s">
        <v>169</v>
      </c>
      <c r="J865" s="55" t="s">
        <v>1011</v>
      </c>
      <c r="K865" s="56" t="s">
        <v>1035</v>
      </c>
      <c r="L865" s="140" t="s">
        <v>380</v>
      </c>
    </row>
    <row r="866" spans="7:12" x14ac:dyDescent="0.2">
      <c r="G866" s="55" t="s">
        <v>981</v>
      </c>
      <c r="H866" s="55" t="s">
        <v>205</v>
      </c>
      <c r="I866" s="55" t="s">
        <v>1036</v>
      </c>
      <c r="J866" s="55" t="s">
        <v>1038</v>
      </c>
      <c r="K866" s="56" t="s">
        <v>1035</v>
      </c>
      <c r="L866" s="140" t="s">
        <v>380</v>
      </c>
    </row>
    <row r="867" spans="7:12" x14ac:dyDescent="0.2">
      <c r="G867" s="315" t="s">
        <v>981</v>
      </c>
      <c r="H867" s="315" t="s">
        <v>782</v>
      </c>
      <c r="I867" s="315" t="s">
        <v>1012</v>
      </c>
      <c r="J867" s="315" t="s">
        <v>698</v>
      </c>
      <c r="K867" s="175" t="s">
        <v>1015</v>
      </c>
      <c r="L867" s="317"/>
    </row>
    <row r="868" spans="7:12" x14ac:dyDescent="0.2">
      <c r="G868" s="61" t="s">
        <v>1039</v>
      </c>
      <c r="H868" s="61" t="s">
        <v>1039</v>
      </c>
      <c r="I868" s="61" t="s">
        <v>1039</v>
      </c>
      <c r="J868" s="61" t="s">
        <v>1039</v>
      </c>
      <c r="K868" s="216" t="s">
        <v>1039</v>
      </c>
      <c r="L868" s="61" t="s">
        <v>1039</v>
      </c>
    </row>
    <row r="869" spans="7:12" x14ac:dyDescent="0.2">
      <c r="G869" s="120" t="s">
        <v>1023</v>
      </c>
      <c r="H869" s="120" t="s">
        <v>213</v>
      </c>
      <c r="I869" s="120" t="s">
        <v>966</v>
      </c>
      <c r="J869" s="120" t="s">
        <v>1040</v>
      </c>
      <c r="K869" s="123" t="s">
        <v>1041</v>
      </c>
      <c r="L869" s="120" t="s">
        <v>360</v>
      </c>
    </row>
    <row r="870" spans="7:12" x14ac:dyDescent="0.2">
      <c r="G870" s="55" t="s">
        <v>981</v>
      </c>
      <c r="H870" s="55" t="s">
        <v>205</v>
      </c>
      <c r="I870" s="55" t="s">
        <v>961</v>
      </c>
      <c r="J870" s="55" t="s">
        <v>1042</v>
      </c>
      <c r="K870" s="56" t="s">
        <v>1043</v>
      </c>
      <c r="L870" s="140" t="s">
        <v>380</v>
      </c>
    </row>
    <row r="871" spans="7:12" x14ac:dyDescent="0.2">
      <c r="G871" s="55" t="s">
        <v>1023</v>
      </c>
      <c r="H871" s="55" t="s">
        <v>358</v>
      </c>
      <c r="I871" s="55" t="s">
        <v>877</v>
      </c>
      <c r="J871" s="55" t="s">
        <v>1044</v>
      </c>
      <c r="K871" s="56" t="s">
        <v>1043</v>
      </c>
      <c r="L871" s="140" t="s">
        <v>400</v>
      </c>
    </row>
    <row r="872" spans="7:12" x14ac:dyDescent="0.2">
      <c r="G872" s="55" t="s">
        <v>981</v>
      </c>
      <c r="H872" s="55" t="s">
        <v>390</v>
      </c>
      <c r="I872" s="55" t="s">
        <v>1045</v>
      </c>
      <c r="J872" s="55" t="s">
        <v>982</v>
      </c>
      <c r="K872" s="56" t="s">
        <v>1046</v>
      </c>
      <c r="L872" s="140" t="s">
        <v>360</v>
      </c>
    </row>
    <row r="873" spans="7:12" x14ac:dyDescent="0.2">
      <c r="G873" s="55" t="s">
        <v>161</v>
      </c>
      <c r="H873" s="55" t="s">
        <v>390</v>
      </c>
      <c r="I873" s="55" t="s">
        <v>1047</v>
      </c>
      <c r="J873" s="55" t="s">
        <v>982</v>
      </c>
      <c r="K873" s="56" t="s">
        <v>1048</v>
      </c>
      <c r="L873" s="140" t="s">
        <v>360</v>
      </c>
    </row>
    <row r="874" spans="7:12" x14ac:dyDescent="0.2">
      <c r="G874" s="55" t="s">
        <v>981</v>
      </c>
      <c r="H874" s="55" t="s">
        <v>286</v>
      </c>
      <c r="I874" s="55" t="s">
        <v>830</v>
      </c>
      <c r="J874" s="55" t="s">
        <v>1049</v>
      </c>
      <c r="K874" s="56" t="s">
        <v>1048</v>
      </c>
      <c r="L874" s="140" t="s">
        <v>398</v>
      </c>
    </row>
    <row r="875" spans="7:12" x14ac:dyDescent="0.2">
      <c r="G875" s="55" t="s">
        <v>1023</v>
      </c>
      <c r="H875" s="55" t="s">
        <v>205</v>
      </c>
      <c r="I875" s="55" t="s">
        <v>966</v>
      </c>
      <c r="J875" s="55" t="s">
        <v>1050</v>
      </c>
      <c r="K875" s="56" t="s">
        <v>1046</v>
      </c>
      <c r="L875" s="140" t="s">
        <v>380</v>
      </c>
    </row>
    <row r="876" spans="7:12" x14ac:dyDescent="0.2">
      <c r="G876" s="55" t="s">
        <v>1023</v>
      </c>
      <c r="H876" s="55" t="s">
        <v>358</v>
      </c>
      <c r="I876" s="55" t="s">
        <v>155</v>
      </c>
      <c r="J876" s="55" t="s">
        <v>645</v>
      </c>
      <c r="K876" s="56" t="s">
        <v>1046</v>
      </c>
      <c r="L876" s="140" t="s">
        <v>360</v>
      </c>
    </row>
    <row r="877" spans="7:12" x14ac:dyDescent="0.2">
      <c r="G877" s="55" t="s">
        <v>1023</v>
      </c>
      <c r="H877" s="55" t="s">
        <v>250</v>
      </c>
      <c r="I877" s="55" t="s">
        <v>885</v>
      </c>
      <c r="J877" s="55" t="s">
        <v>916</v>
      </c>
      <c r="K877" s="56" t="s">
        <v>1048</v>
      </c>
      <c r="L877" s="140" t="s">
        <v>442</v>
      </c>
    </row>
    <row r="878" spans="7:12" x14ac:dyDescent="0.2">
      <c r="G878" s="55" t="s">
        <v>981</v>
      </c>
      <c r="H878" s="55" t="s">
        <v>390</v>
      </c>
      <c r="I878" s="55" t="s">
        <v>1051</v>
      </c>
      <c r="J878" s="55" t="s">
        <v>982</v>
      </c>
      <c r="K878" s="56" t="s">
        <v>1048</v>
      </c>
      <c r="L878" s="140" t="s">
        <v>398</v>
      </c>
    </row>
    <row r="879" spans="7:12" x14ac:dyDescent="0.2">
      <c r="G879" s="55" t="s">
        <v>161</v>
      </c>
      <c r="H879" s="55" t="s">
        <v>390</v>
      </c>
      <c r="I879" s="55" t="s">
        <v>1052</v>
      </c>
      <c r="J879" s="55" t="s">
        <v>982</v>
      </c>
      <c r="K879" s="56" t="s">
        <v>1053</v>
      </c>
      <c r="L879" s="140" t="s">
        <v>360</v>
      </c>
    </row>
    <row r="880" spans="7:12" x14ac:dyDescent="0.2">
      <c r="G880" s="55" t="s">
        <v>860</v>
      </c>
      <c r="H880" s="55" t="s">
        <v>383</v>
      </c>
      <c r="I880" s="55" t="s">
        <v>157</v>
      </c>
      <c r="J880" s="55" t="s">
        <v>1011</v>
      </c>
      <c r="K880" s="56" t="s">
        <v>1053</v>
      </c>
      <c r="L880" s="140" t="s">
        <v>380</v>
      </c>
    </row>
    <row r="881" spans="7:12" x14ac:dyDescent="0.2">
      <c r="G881" s="55" t="s">
        <v>860</v>
      </c>
      <c r="H881" s="55" t="s">
        <v>383</v>
      </c>
      <c r="I881" s="55" t="s">
        <v>877</v>
      </c>
      <c r="J881" s="55" t="s">
        <v>1054</v>
      </c>
      <c r="K881" s="56" t="s">
        <v>1053</v>
      </c>
      <c r="L881" s="140" t="s">
        <v>442</v>
      </c>
    </row>
    <row r="882" spans="7:12" x14ac:dyDescent="0.2">
      <c r="G882" s="315" t="s">
        <v>1055</v>
      </c>
      <c r="H882" s="315" t="s">
        <v>656</v>
      </c>
      <c r="I882" s="315" t="s">
        <v>1056</v>
      </c>
      <c r="J882" s="315" t="s">
        <v>698</v>
      </c>
      <c r="K882" s="175">
        <v>45951</v>
      </c>
      <c r="L882" s="317"/>
    </row>
    <row r="883" spans="7:12" x14ac:dyDescent="0.2">
      <c r="G883" s="61" t="s">
        <v>1057</v>
      </c>
      <c r="H883" s="61" t="s">
        <v>1057</v>
      </c>
      <c r="I883" s="61" t="s">
        <v>1057</v>
      </c>
      <c r="J883" s="61" t="s">
        <v>1057</v>
      </c>
      <c r="K883" s="216" t="s">
        <v>1057</v>
      </c>
      <c r="L883" s="61" t="s">
        <v>1057</v>
      </c>
    </row>
    <row r="884" spans="7:12" x14ac:dyDescent="0.2">
      <c r="G884" s="55" t="s">
        <v>860</v>
      </c>
      <c r="H884" s="55" t="s">
        <v>383</v>
      </c>
      <c r="I884" s="55" t="s">
        <v>1009</v>
      </c>
      <c r="J884" s="55" t="s">
        <v>1011</v>
      </c>
      <c r="K884" s="56" t="s">
        <v>1058</v>
      </c>
      <c r="L884" s="140" t="s">
        <v>360</v>
      </c>
    </row>
    <row r="885" spans="7:12" x14ac:dyDescent="0.2">
      <c r="G885" s="55" t="s">
        <v>981</v>
      </c>
      <c r="H885" s="55" t="s">
        <v>205</v>
      </c>
      <c r="I885" s="55" t="s">
        <v>1059</v>
      </c>
      <c r="J885" s="55" t="s">
        <v>1060</v>
      </c>
      <c r="K885" s="56" t="s">
        <v>1058</v>
      </c>
      <c r="L885" s="55" t="s">
        <v>398</v>
      </c>
    </row>
    <row r="886" spans="7:12" x14ac:dyDescent="0.2">
      <c r="G886" s="55" t="s">
        <v>1023</v>
      </c>
      <c r="H886" s="55" t="s">
        <v>202</v>
      </c>
      <c r="I886" s="55" t="s">
        <v>1061</v>
      </c>
      <c r="J886" s="55" t="s">
        <v>1016</v>
      </c>
      <c r="K886" s="56" t="s">
        <v>270</v>
      </c>
      <c r="L886" s="140" t="s">
        <v>360</v>
      </c>
    </row>
    <row r="887" spans="7:12" x14ac:dyDescent="0.2">
      <c r="G887" s="55" t="s">
        <v>860</v>
      </c>
      <c r="H887" s="55" t="s">
        <v>202</v>
      </c>
      <c r="I887" s="55" t="s">
        <v>1062</v>
      </c>
      <c r="J887" s="55" t="s">
        <v>1016</v>
      </c>
      <c r="K887" s="56" t="s">
        <v>270</v>
      </c>
      <c r="L887" s="140" t="s">
        <v>360</v>
      </c>
    </row>
    <row r="888" spans="7:12" x14ac:dyDescent="0.2">
      <c r="G888" s="55" t="s">
        <v>1063</v>
      </c>
      <c r="H888" s="55" t="s">
        <v>205</v>
      </c>
      <c r="I888" s="55" t="s">
        <v>155</v>
      </c>
      <c r="J888" s="55" t="s">
        <v>1064</v>
      </c>
      <c r="K888" s="56" t="s">
        <v>279</v>
      </c>
      <c r="L888" s="140" t="s">
        <v>398</v>
      </c>
    </row>
    <row r="889" spans="7:12" x14ac:dyDescent="0.2">
      <c r="G889" s="55" t="s">
        <v>860</v>
      </c>
      <c r="H889" s="55" t="s">
        <v>202</v>
      </c>
      <c r="I889" s="55" t="s">
        <v>1009</v>
      </c>
      <c r="J889" s="55" t="s">
        <v>1065</v>
      </c>
      <c r="K889" s="56" t="s">
        <v>270</v>
      </c>
      <c r="L889" s="140" t="s">
        <v>360</v>
      </c>
    </row>
    <row r="890" spans="7:12" x14ac:dyDescent="0.2">
      <c r="G890" s="55" t="s">
        <v>981</v>
      </c>
      <c r="H890" s="55" t="s">
        <v>205</v>
      </c>
      <c r="I890" s="55" t="s">
        <v>1059</v>
      </c>
      <c r="J890" s="55" t="s">
        <v>1066</v>
      </c>
      <c r="K890" s="56" t="s">
        <v>1067</v>
      </c>
      <c r="L890" s="55" t="s">
        <v>398</v>
      </c>
    </row>
    <row r="891" spans="7:12" x14ac:dyDescent="0.2">
      <c r="G891" s="55" t="s">
        <v>1023</v>
      </c>
      <c r="H891" s="55" t="s">
        <v>205</v>
      </c>
      <c r="I891" s="55" t="s">
        <v>966</v>
      </c>
      <c r="J891" s="55" t="s">
        <v>1068</v>
      </c>
      <c r="K891" s="56" t="s">
        <v>1067</v>
      </c>
      <c r="L891" s="140" t="s">
        <v>380</v>
      </c>
    </row>
    <row r="892" spans="7:12" x14ac:dyDescent="0.2">
      <c r="G892" s="55" t="s">
        <v>860</v>
      </c>
      <c r="H892" s="55" t="s">
        <v>751</v>
      </c>
      <c r="I892" s="55" t="s">
        <v>169</v>
      </c>
      <c r="J892" s="55" t="s">
        <v>1069</v>
      </c>
      <c r="K892" s="56" t="s">
        <v>1067</v>
      </c>
      <c r="L892" s="140" t="s">
        <v>380</v>
      </c>
    </row>
    <row r="893" spans="7:12" x14ac:dyDescent="0.2">
      <c r="G893" s="55" t="s">
        <v>860</v>
      </c>
      <c r="H893" s="55" t="s">
        <v>383</v>
      </c>
      <c r="I893" s="55" t="s">
        <v>169</v>
      </c>
      <c r="J893" s="55" t="s">
        <v>974</v>
      </c>
      <c r="K893" s="56" t="s">
        <v>1070</v>
      </c>
      <c r="L893" s="140" t="s">
        <v>380</v>
      </c>
    </row>
    <row r="894" spans="7:12" x14ac:dyDescent="0.2">
      <c r="G894" s="149" t="s">
        <v>1071</v>
      </c>
      <c r="H894" s="149" t="s">
        <v>9</v>
      </c>
      <c r="I894" s="149" t="s">
        <v>1056</v>
      </c>
      <c r="J894" s="149" t="s">
        <v>698</v>
      </c>
      <c r="K894" s="338">
        <v>45957</v>
      </c>
      <c r="L894" s="176"/>
    </row>
    <row r="895" spans="7:12" x14ac:dyDescent="0.2">
      <c r="G895" s="149" t="s">
        <v>1071</v>
      </c>
      <c r="H895" s="149" t="s">
        <v>9</v>
      </c>
      <c r="I895" s="149" t="s">
        <v>155</v>
      </c>
      <c r="J895" s="149" t="s">
        <v>698</v>
      </c>
      <c r="K895" s="338">
        <v>45958</v>
      </c>
      <c r="L895" s="176"/>
    </row>
    <row r="896" spans="7:12" x14ac:dyDescent="0.2">
      <c r="G896" s="149" t="s">
        <v>1071</v>
      </c>
      <c r="H896" s="149" t="s">
        <v>1072</v>
      </c>
      <c r="I896" s="149" t="s">
        <v>179</v>
      </c>
      <c r="J896" s="149" t="s">
        <v>698</v>
      </c>
      <c r="K896" s="338">
        <v>45959</v>
      </c>
      <c r="L896" s="176"/>
    </row>
    <row r="897" spans="7:12" x14ac:dyDescent="0.2">
      <c r="G897" s="149" t="s">
        <v>1071</v>
      </c>
      <c r="H897" s="149" t="s">
        <v>1073</v>
      </c>
      <c r="I897" s="149" t="s">
        <v>838</v>
      </c>
      <c r="J897" s="149" t="s">
        <v>698</v>
      </c>
      <c r="K897" s="338">
        <v>45960</v>
      </c>
      <c r="L897" s="176"/>
    </row>
    <row r="898" spans="7:12" x14ac:dyDescent="0.2">
      <c r="G898" s="149" t="s">
        <v>1071</v>
      </c>
      <c r="H898" s="149" t="s">
        <v>9</v>
      </c>
      <c r="I898" s="149" t="s">
        <v>1074</v>
      </c>
      <c r="J898" s="149" t="s">
        <v>698</v>
      </c>
      <c r="K898" s="338">
        <v>45961</v>
      </c>
      <c r="L898" s="176"/>
    </row>
    <row r="899" spans="7:12" x14ac:dyDescent="0.2">
      <c r="G899" s="149" t="s">
        <v>1071</v>
      </c>
      <c r="H899" s="149" t="s">
        <v>9</v>
      </c>
      <c r="I899" s="149" t="s">
        <v>961</v>
      </c>
      <c r="J899" s="149" t="s">
        <v>698</v>
      </c>
      <c r="K899" s="338">
        <v>45962</v>
      </c>
      <c r="L899" s="176"/>
    </row>
    <row r="900" spans="7:12" x14ac:dyDescent="0.2">
      <c r="G900" s="61" t="s">
        <v>1075</v>
      </c>
      <c r="H900" s="61" t="s">
        <v>1075</v>
      </c>
      <c r="I900" s="61" t="s">
        <v>1075</v>
      </c>
      <c r="J900" s="61" t="s">
        <v>1075</v>
      </c>
      <c r="K900" s="216" t="s">
        <v>1075</v>
      </c>
      <c r="L900" s="61" t="s">
        <v>1075</v>
      </c>
    </row>
    <row r="901" spans="7:12" x14ac:dyDescent="0.2">
      <c r="G901" s="55" t="s">
        <v>31</v>
      </c>
      <c r="H901" s="55" t="s">
        <v>205</v>
      </c>
      <c r="I901" s="55" t="s">
        <v>55</v>
      </c>
      <c r="J901" s="55" t="s">
        <v>1076</v>
      </c>
      <c r="K901" s="342">
        <v>45964</v>
      </c>
      <c r="L901" s="140" t="s">
        <v>380</v>
      </c>
    </row>
    <row r="902" spans="7:12" x14ac:dyDescent="0.2">
      <c r="G902" s="55" t="s">
        <v>981</v>
      </c>
      <c r="H902" s="55" t="s">
        <v>230</v>
      </c>
      <c r="I902" s="55" t="s">
        <v>1059</v>
      </c>
      <c r="J902" s="55" t="s">
        <v>1077</v>
      </c>
      <c r="K902" s="342">
        <v>45965</v>
      </c>
      <c r="L902" s="55">
        <v>2</v>
      </c>
    </row>
    <row r="903" spans="7:12" x14ac:dyDescent="0.2">
      <c r="G903" s="55" t="s">
        <v>31</v>
      </c>
      <c r="H903" s="55" t="s">
        <v>230</v>
      </c>
      <c r="I903" s="55" t="s">
        <v>908</v>
      </c>
      <c r="J903" s="55" t="s">
        <v>1078</v>
      </c>
      <c r="K903" s="342">
        <v>45965</v>
      </c>
      <c r="L903" s="140" t="s">
        <v>398</v>
      </c>
    </row>
    <row r="904" spans="7:12" x14ac:dyDescent="0.2">
      <c r="G904" s="55" t="s">
        <v>860</v>
      </c>
      <c r="H904" s="55" t="s">
        <v>205</v>
      </c>
      <c r="I904" s="55" t="s">
        <v>157</v>
      </c>
      <c r="J904" s="55" t="s">
        <v>1079</v>
      </c>
      <c r="K904" s="342">
        <v>45965</v>
      </c>
      <c r="L904" s="140" t="s">
        <v>380</v>
      </c>
    </row>
    <row r="905" spans="7:12" x14ac:dyDescent="0.2">
      <c r="G905" s="55" t="s">
        <v>1063</v>
      </c>
      <c r="H905" s="55" t="s">
        <v>288</v>
      </c>
      <c r="I905" s="55" t="s">
        <v>885</v>
      </c>
      <c r="J905" s="55" t="s">
        <v>1080</v>
      </c>
      <c r="K905" s="342">
        <v>45965</v>
      </c>
      <c r="L905" s="55">
        <v>2</v>
      </c>
    </row>
    <row r="906" spans="7:12" x14ac:dyDescent="0.2">
      <c r="G906" s="55" t="s">
        <v>860</v>
      </c>
      <c r="H906" s="55" t="s">
        <v>1081</v>
      </c>
      <c r="I906" s="55" t="s">
        <v>157</v>
      </c>
      <c r="J906" s="55" t="s">
        <v>1082</v>
      </c>
      <c r="K906" s="342">
        <v>45966</v>
      </c>
      <c r="L906" s="55">
        <v>4</v>
      </c>
    </row>
    <row r="907" spans="7:12" x14ac:dyDescent="0.2">
      <c r="G907" s="55" t="s">
        <v>860</v>
      </c>
      <c r="H907" s="55" t="s">
        <v>205</v>
      </c>
      <c r="I907" s="55" t="s">
        <v>1009</v>
      </c>
      <c r="J907" s="55" t="s">
        <v>1068</v>
      </c>
      <c r="K907" s="342">
        <v>45967</v>
      </c>
      <c r="L907" s="140" t="s">
        <v>360</v>
      </c>
    </row>
    <row r="908" spans="7:12" x14ac:dyDescent="0.2">
      <c r="G908" s="55" t="s">
        <v>31</v>
      </c>
      <c r="H908" s="55" t="s">
        <v>230</v>
      </c>
      <c r="I908" s="55" t="s">
        <v>55</v>
      </c>
      <c r="J908" s="55" t="s">
        <v>1083</v>
      </c>
      <c r="K908" s="342">
        <v>45967</v>
      </c>
      <c r="L908" s="140" t="s">
        <v>380</v>
      </c>
    </row>
    <row r="909" spans="7:12" x14ac:dyDescent="0.2">
      <c r="G909" s="55" t="s">
        <v>1063</v>
      </c>
      <c r="H909" s="55" t="s">
        <v>213</v>
      </c>
      <c r="I909" s="55" t="s">
        <v>885</v>
      </c>
      <c r="J909" s="55" t="s">
        <v>1084</v>
      </c>
      <c r="K909" s="342">
        <v>45967</v>
      </c>
      <c r="L909" s="140" t="s">
        <v>380</v>
      </c>
    </row>
    <row r="910" spans="7:12" x14ac:dyDescent="0.2">
      <c r="G910" s="55" t="s">
        <v>981</v>
      </c>
      <c r="H910" s="55" t="s">
        <v>205</v>
      </c>
      <c r="I910" s="55" t="s">
        <v>1051</v>
      </c>
      <c r="J910" s="55" t="s">
        <v>1085</v>
      </c>
      <c r="K910" s="56">
        <v>45968</v>
      </c>
      <c r="L910" s="140" t="s">
        <v>360</v>
      </c>
    </row>
    <row r="911" spans="7:12" x14ac:dyDescent="0.2">
      <c r="G911" s="55" t="s">
        <v>981</v>
      </c>
      <c r="H911" s="55" t="s">
        <v>390</v>
      </c>
      <c r="I911" s="55" t="s">
        <v>1086</v>
      </c>
      <c r="J911" s="55" t="s">
        <v>1087</v>
      </c>
      <c r="K911" s="56">
        <v>45968</v>
      </c>
      <c r="L911" s="140" t="s">
        <v>360</v>
      </c>
    </row>
    <row r="912" spans="7:12" x14ac:dyDescent="0.2">
      <c r="G912" s="149" t="s">
        <v>1055</v>
      </c>
      <c r="H912" s="149" t="s">
        <v>656</v>
      </c>
      <c r="I912" s="149" t="s">
        <v>1088</v>
      </c>
      <c r="J912" s="149" t="s">
        <v>698</v>
      </c>
      <c r="K912" s="338">
        <v>45964</v>
      </c>
      <c r="L912" s="176"/>
    </row>
    <row r="913" spans="7:12" x14ac:dyDescent="0.2">
      <c r="G913" s="149" t="s">
        <v>1071</v>
      </c>
      <c r="H913" s="149" t="s">
        <v>813</v>
      </c>
      <c r="I913" s="149" t="s">
        <v>179</v>
      </c>
      <c r="J913" s="149" t="s">
        <v>698</v>
      </c>
      <c r="K913" s="338">
        <v>45965</v>
      </c>
      <c r="L913" s="176"/>
    </row>
    <row r="914" spans="7:12" x14ac:dyDescent="0.2">
      <c r="G914" s="149" t="s">
        <v>1089</v>
      </c>
      <c r="H914" s="149" t="s">
        <v>1090</v>
      </c>
      <c r="I914" s="149" t="s">
        <v>1091</v>
      </c>
      <c r="J914" s="149" t="s">
        <v>698</v>
      </c>
      <c r="K914" s="338">
        <v>45966</v>
      </c>
      <c r="L914" s="176"/>
    </row>
    <row r="915" spans="7:12" x14ac:dyDescent="0.2">
      <c r="G915" s="149" t="s">
        <v>1071</v>
      </c>
      <c r="H915" s="149" t="s">
        <v>9</v>
      </c>
      <c r="I915" s="149" t="s">
        <v>157</v>
      </c>
      <c r="J915" s="149" t="s">
        <v>698</v>
      </c>
      <c r="K915" s="338">
        <v>45966</v>
      </c>
      <c r="L915" s="176"/>
    </row>
    <row r="916" spans="7:12" x14ac:dyDescent="0.2">
      <c r="G916" s="61" t="s">
        <v>1092</v>
      </c>
      <c r="H916" s="61" t="s">
        <v>1092</v>
      </c>
      <c r="I916" s="61" t="s">
        <v>1092</v>
      </c>
      <c r="J916" s="61" t="s">
        <v>1092</v>
      </c>
      <c r="K916" s="216" t="s">
        <v>1092</v>
      </c>
      <c r="L916" s="61" t="s">
        <v>1092</v>
      </c>
    </row>
    <row r="917" spans="7:12" x14ac:dyDescent="0.2">
      <c r="G917" s="55" t="s">
        <v>860</v>
      </c>
      <c r="H917" s="55" t="s">
        <v>383</v>
      </c>
      <c r="I917" s="55" t="s">
        <v>1009</v>
      </c>
      <c r="J917" s="55" t="s">
        <v>1093</v>
      </c>
      <c r="K917" s="56">
        <v>45941</v>
      </c>
      <c r="L917" s="140" t="s">
        <v>360</v>
      </c>
    </row>
    <row r="918" spans="7:12" x14ac:dyDescent="0.2">
      <c r="G918" s="55" t="s">
        <v>31</v>
      </c>
      <c r="H918" s="55" t="s">
        <v>213</v>
      </c>
      <c r="I918" s="55" t="s">
        <v>908</v>
      </c>
      <c r="J918" s="55" t="s">
        <v>1094</v>
      </c>
      <c r="K918" s="342">
        <v>45971</v>
      </c>
      <c r="L918" s="140" t="s">
        <v>380</v>
      </c>
    </row>
    <row r="919" spans="7:12" x14ac:dyDescent="0.2">
      <c r="G919" s="55" t="s">
        <v>860</v>
      </c>
      <c r="H919" s="55" t="s">
        <v>205</v>
      </c>
      <c r="I919" s="55" t="s">
        <v>167</v>
      </c>
      <c r="J919" s="55" t="s">
        <v>1095</v>
      </c>
      <c r="K919" s="342">
        <v>45971</v>
      </c>
      <c r="L919" s="140" t="s">
        <v>360</v>
      </c>
    </row>
    <row r="920" spans="7:12" x14ac:dyDescent="0.2">
      <c r="G920" s="55" t="s">
        <v>1096</v>
      </c>
      <c r="H920" s="55" t="s">
        <v>230</v>
      </c>
      <c r="I920" s="55" t="s">
        <v>961</v>
      </c>
      <c r="J920" s="55" t="s">
        <v>1097</v>
      </c>
      <c r="K920" s="342">
        <v>45971</v>
      </c>
      <c r="L920" s="55" t="s">
        <v>398</v>
      </c>
    </row>
    <row r="921" spans="7:12" x14ac:dyDescent="0.2">
      <c r="G921" s="55" t="s">
        <v>1063</v>
      </c>
      <c r="H921" s="55" t="s">
        <v>293</v>
      </c>
      <c r="I921" s="55" t="s">
        <v>155</v>
      </c>
      <c r="J921" s="55" t="s">
        <v>1098</v>
      </c>
      <c r="K921" s="342">
        <v>45972</v>
      </c>
      <c r="L921" s="140" t="s">
        <v>398</v>
      </c>
    </row>
    <row r="922" spans="7:12" x14ac:dyDescent="0.2">
      <c r="G922" s="55" t="s">
        <v>1096</v>
      </c>
      <c r="H922" s="55" t="s">
        <v>205</v>
      </c>
      <c r="I922" s="55" t="s">
        <v>1059</v>
      </c>
      <c r="J922" s="55" t="s">
        <v>1099</v>
      </c>
      <c r="K922" s="342">
        <v>45972</v>
      </c>
      <c r="L922" s="55" t="s">
        <v>398</v>
      </c>
    </row>
    <row r="923" spans="7:12" x14ac:dyDescent="0.2">
      <c r="G923" s="55" t="s">
        <v>1096</v>
      </c>
      <c r="H923" s="55" t="s">
        <v>213</v>
      </c>
      <c r="I923" s="55" t="s">
        <v>1100</v>
      </c>
      <c r="J923" s="55" t="s">
        <v>1101</v>
      </c>
      <c r="K923" s="342">
        <v>45972</v>
      </c>
      <c r="L923" s="55" t="s">
        <v>380</v>
      </c>
    </row>
    <row r="924" spans="7:12" x14ac:dyDescent="0.2">
      <c r="G924" s="55" t="s">
        <v>860</v>
      </c>
      <c r="H924" s="55" t="s">
        <v>192</v>
      </c>
      <c r="I924" s="55" t="s">
        <v>167</v>
      </c>
      <c r="J924" s="55" t="s">
        <v>1102</v>
      </c>
      <c r="K924" s="342">
        <v>45972</v>
      </c>
      <c r="L924" s="140" t="s">
        <v>360</v>
      </c>
    </row>
    <row r="925" spans="7:12" x14ac:dyDescent="0.2">
      <c r="G925" s="55" t="s">
        <v>860</v>
      </c>
      <c r="H925" s="55" t="s">
        <v>358</v>
      </c>
      <c r="I925" s="55" t="s">
        <v>169</v>
      </c>
      <c r="J925" s="55" t="s">
        <v>1103</v>
      </c>
      <c r="K925" s="342">
        <v>45972</v>
      </c>
      <c r="L925" s="140" t="s">
        <v>380</v>
      </c>
    </row>
    <row r="926" spans="7:12" x14ac:dyDescent="0.2">
      <c r="G926" s="55" t="s">
        <v>860</v>
      </c>
      <c r="H926" s="55" t="s">
        <v>192</v>
      </c>
      <c r="I926" s="55" t="s">
        <v>838</v>
      </c>
      <c r="J926" s="55" t="s">
        <v>1104</v>
      </c>
      <c r="K926" s="342">
        <v>45972</v>
      </c>
      <c r="L926" s="140" t="s">
        <v>380</v>
      </c>
    </row>
    <row r="927" spans="7:12" x14ac:dyDescent="0.2">
      <c r="G927" s="55" t="s">
        <v>1023</v>
      </c>
      <c r="H927" s="55" t="s">
        <v>358</v>
      </c>
      <c r="I927" s="55" t="s">
        <v>155</v>
      </c>
      <c r="J927" s="55" t="s">
        <v>1098</v>
      </c>
      <c r="K927" s="342">
        <v>45972</v>
      </c>
      <c r="L927" s="140" t="s">
        <v>398</v>
      </c>
    </row>
    <row r="928" spans="7:12" x14ac:dyDescent="0.2">
      <c r="G928" s="55" t="s">
        <v>1023</v>
      </c>
      <c r="H928" s="55" t="s">
        <v>205</v>
      </c>
      <c r="I928" s="55" t="s">
        <v>966</v>
      </c>
      <c r="J928" s="55" t="s">
        <v>1105</v>
      </c>
      <c r="K928" s="342">
        <v>45972</v>
      </c>
      <c r="L928" s="140" t="s">
        <v>398</v>
      </c>
    </row>
    <row r="929" spans="7:12" x14ac:dyDescent="0.2">
      <c r="G929" s="55" t="s">
        <v>1023</v>
      </c>
      <c r="H929" s="55" t="s">
        <v>205</v>
      </c>
      <c r="I929" s="55" t="s">
        <v>155</v>
      </c>
      <c r="J929" s="55" t="s">
        <v>1106</v>
      </c>
      <c r="K929" s="342">
        <v>45973</v>
      </c>
      <c r="L929" s="140" t="s">
        <v>380</v>
      </c>
    </row>
    <row r="930" spans="7:12" x14ac:dyDescent="0.2">
      <c r="G930" s="55" t="s">
        <v>1096</v>
      </c>
      <c r="H930" s="55" t="s">
        <v>205</v>
      </c>
      <c r="I930" s="157" t="s">
        <v>1107</v>
      </c>
      <c r="J930" s="55" t="s">
        <v>1108</v>
      </c>
      <c r="K930" s="342">
        <v>45973</v>
      </c>
      <c r="L930" s="140" t="s">
        <v>380</v>
      </c>
    </row>
    <row r="931" spans="7:12" x14ac:dyDescent="0.2">
      <c r="G931" s="55" t="s">
        <v>860</v>
      </c>
      <c r="H931" s="55" t="s">
        <v>202</v>
      </c>
      <c r="I931" s="55" t="s">
        <v>371</v>
      </c>
      <c r="J931" s="55" t="s">
        <v>973</v>
      </c>
      <c r="K931" s="342">
        <v>45973</v>
      </c>
      <c r="L931" s="140" t="s">
        <v>360</v>
      </c>
    </row>
    <row r="932" spans="7:12" x14ac:dyDescent="0.2">
      <c r="G932" s="55" t="s">
        <v>1096</v>
      </c>
      <c r="H932" s="55" t="s">
        <v>250</v>
      </c>
      <c r="I932" s="55" t="s">
        <v>1100</v>
      </c>
      <c r="J932" s="55" t="s">
        <v>1109</v>
      </c>
      <c r="K932" s="342">
        <v>45973</v>
      </c>
      <c r="L932" s="55" t="s">
        <v>442</v>
      </c>
    </row>
    <row r="933" spans="7:12" x14ac:dyDescent="0.2">
      <c r="G933" s="55" t="s">
        <v>1096</v>
      </c>
      <c r="H933" s="55" t="s">
        <v>205</v>
      </c>
      <c r="I933" s="55" t="s">
        <v>1036</v>
      </c>
      <c r="J933" s="55" t="s">
        <v>1110</v>
      </c>
      <c r="K933" s="342">
        <v>45973</v>
      </c>
      <c r="L933" s="55">
        <v>4</v>
      </c>
    </row>
    <row r="934" spans="7:12" x14ac:dyDescent="0.2">
      <c r="G934" s="55" t="s">
        <v>31</v>
      </c>
      <c r="H934" s="55" t="s">
        <v>202</v>
      </c>
      <c r="I934" s="55" t="s">
        <v>56</v>
      </c>
      <c r="J934" s="55" t="s">
        <v>206</v>
      </c>
      <c r="K934" s="342">
        <v>45974</v>
      </c>
      <c r="L934" s="140" t="s">
        <v>398</v>
      </c>
    </row>
    <row r="935" spans="7:12" x14ac:dyDescent="0.2">
      <c r="G935" s="55" t="s">
        <v>860</v>
      </c>
      <c r="H935" s="55" t="s">
        <v>1111</v>
      </c>
      <c r="I935" s="55" t="s">
        <v>157</v>
      </c>
      <c r="J935" s="55" t="s">
        <v>1112</v>
      </c>
      <c r="K935" s="342">
        <v>45974</v>
      </c>
      <c r="L935" s="140" t="s">
        <v>380</v>
      </c>
    </row>
    <row r="936" spans="7:12" x14ac:dyDescent="0.2">
      <c r="G936" s="55" t="s">
        <v>860</v>
      </c>
      <c r="H936" s="55" t="s">
        <v>1111</v>
      </c>
      <c r="I936" s="55" t="s">
        <v>157</v>
      </c>
      <c r="J936" s="55" t="s">
        <v>1113</v>
      </c>
      <c r="K936" s="342">
        <v>45974</v>
      </c>
      <c r="L936" s="140" t="s">
        <v>380</v>
      </c>
    </row>
    <row r="937" spans="7:12" x14ac:dyDescent="0.2">
      <c r="G937" s="55" t="s">
        <v>860</v>
      </c>
      <c r="H937" s="55" t="s">
        <v>341</v>
      </c>
      <c r="I937" s="55" t="s">
        <v>643</v>
      </c>
      <c r="J937" s="55" t="s">
        <v>1114</v>
      </c>
      <c r="K937" s="342">
        <v>45974</v>
      </c>
      <c r="L937" s="140" t="s">
        <v>398</v>
      </c>
    </row>
    <row r="938" spans="7:12" x14ac:dyDescent="0.2">
      <c r="G938" s="55" t="s">
        <v>860</v>
      </c>
      <c r="H938" s="55" t="s">
        <v>192</v>
      </c>
      <c r="I938" s="55" t="s">
        <v>157</v>
      </c>
      <c r="J938" s="55" t="s">
        <v>990</v>
      </c>
      <c r="K938" s="342" t="s">
        <v>1115</v>
      </c>
      <c r="L938" s="140" t="s">
        <v>380</v>
      </c>
    </row>
    <row r="939" spans="7:12" x14ac:dyDescent="0.2">
      <c r="G939" s="149" t="s">
        <v>1116</v>
      </c>
      <c r="H939" s="149" t="s">
        <v>1117</v>
      </c>
      <c r="I939" s="149" t="s">
        <v>1118</v>
      </c>
      <c r="J939" s="149" t="s">
        <v>698</v>
      </c>
      <c r="K939" s="231">
        <v>45971</v>
      </c>
      <c r="L939" s="176"/>
    </row>
    <row r="940" spans="7:12" x14ac:dyDescent="0.2">
      <c r="G940" s="149" t="s">
        <v>1071</v>
      </c>
      <c r="H940" s="149" t="s">
        <v>1119</v>
      </c>
      <c r="I940" s="149" t="s">
        <v>155</v>
      </c>
      <c r="J940" s="149" t="s">
        <v>698</v>
      </c>
      <c r="K940" s="231">
        <v>45971</v>
      </c>
      <c r="L940" s="176"/>
    </row>
    <row r="941" spans="7:12" x14ac:dyDescent="0.2">
      <c r="G941" s="149" t="s">
        <v>1071</v>
      </c>
      <c r="H941" s="149" t="s">
        <v>1119</v>
      </c>
      <c r="I941" s="149" t="s">
        <v>167</v>
      </c>
      <c r="J941" s="149" t="s">
        <v>698</v>
      </c>
      <c r="K941" s="231">
        <v>45972</v>
      </c>
      <c r="L941" s="176"/>
    </row>
    <row r="942" spans="7:12" x14ac:dyDescent="0.2">
      <c r="G942" s="149" t="s">
        <v>1071</v>
      </c>
      <c r="H942" s="149" t="s">
        <v>1119</v>
      </c>
      <c r="I942" s="149" t="s">
        <v>1120</v>
      </c>
      <c r="J942" s="149" t="s">
        <v>698</v>
      </c>
      <c r="K942" s="231">
        <v>45972</v>
      </c>
      <c r="L942" s="176"/>
    </row>
    <row r="943" spans="7:12" x14ac:dyDescent="0.2">
      <c r="G943" s="61" t="s">
        <v>340</v>
      </c>
      <c r="H943" s="61" t="s">
        <v>340</v>
      </c>
      <c r="I943" s="61" t="s">
        <v>340</v>
      </c>
      <c r="J943" s="61" t="s">
        <v>340</v>
      </c>
      <c r="K943" s="216" t="s">
        <v>340</v>
      </c>
      <c r="L943" s="61" t="s">
        <v>340</v>
      </c>
    </row>
    <row r="944" spans="7:12" x14ac:dyDescent="0.2">
      <c r="G944" s="55" t="s">
        <v>860</v>
      </c>
      <c r="H944" s="55" t="s">
        <v>358</v>
      </c>
      <c r="I944" s="55" t="s">
        <v>167</v>
      </c>
      <c r="J944" s="55" t="s">
        <v>1121</v>
      </c>
      <c r="K944" s="342" t="s">
        <v>1122</v>
      </c>
      <c r="L944" s="140" t="s">
        <v>360</v>
      </c>
    </row>
    <row r="945" spans="7:12" x14ac:dyDescent="0.2">
      <c r="G945" s="55" t="s">
        <v>31</v>
      </c>
      <c r="H945" s="55" t="s">
        <v>205</v>
      </c>
      <c r="I945" s="55" t="s">
        <v>155</v>
      </c>
      <c r="J945" s="55" t="s">
        <v>1123</v>
      </c>
      <c r="K945" s="56">
        <v>45979</v>
      </c>
      <c r="L945" s="140" t="s">
        <v>380</v>
      </c>
    </row>
    <row r="946" spans="7:12" x14ac:dyDescent="0.2">
      <c r="G946" s="55" t="s">
        <v>1023</v>
      </c>
      <c r="H946" s="55" t="s">
        <v>358</v>
      </c>
      <c r="I946" s="55" t="s">
        <v>885</v>
      </c>
      <c r="J946" s="55" t="s">
        <v>1124</v>
      </c>
      <c r="K946" s="56">
        <v>45979</v>
      </c>
      <c r="L946" s="140" t="s">
        <v>398</v>
      </c>
    </row>
    <row r="947" spans="7:12" x14ac:dyDescent="0.2">
      <c r="G947" s="55" t="s">
        <v>1023</v>
      </c>
      <c r="H947" s="55" t="s">
        <v>250</v>
      </c>
      <c r="I947" s="55" t="s">
        <v>966</v>
      </c>
      <c r="J947" s="55" t="s">
        <v>1125</v>
      </c>
      <c r="K947" s="56">
        <v>45979</v>
      </c>
      <c r="L947" s="140" t="s">
        <v>380</v>
      </c>
    </row>
    <row r="948" spans="7:12" x14ac:dyDescent="0.2">
      <c r="G948" s="55" t="s">
        <v>860</v>
      </c>
      <c r="H948" s="55" t="s">
        <v>358</v>
      </c>
      <c r="I948" s="55" t="s">
        <v>167</v>
      </c>
      <c r="J948" s="55" t="s">
        <v>1126</v>
      </c>
      <c r="K948" s="342" t="s">
        <v>1127</v>
      </c>
      <c r="L948" s="140" t="s">
        <v>360</v>
      </c>
    </row>
    <row r="949" spans="7:12" x14ac:dyDescent="0.2">
      <c r="G949" s="55" t="s">
        <v>860</v>
      </c>
      <c r="H949" s="55" t="s">
        <v>930</v>
      </c>
      <c r="I949" s="55" t="s">
        <v>1128</v>
      </c>
      <c r="J949" s="55" t="s">
        <v>1129</v>
      </c>
      <c r="K949" s="342" t="s">
        <v>1127</v>
      </c>
      <c r="L949" s="140" t="s">
        <v>360</v>
      </c>
    </row>
    <row r="950" spans="7:12" x14ac:dyDescent="0.2">
      <c r="G950" s="55" t="s">
        <v>860</v>
      </c>
      <c r="H950" s="55" t="s">
        <v>930</v>
      </c>
      <c r="I950" s="55" t="s">
        <v>838</v>
      </c>
      <c r="J950" s="55" t="s">
        <v>1130</v>
      </c>
      <c r="K950" s="342" t="s">
        <v>1127</v>
      </c>
      <c r="L950" s="140" t="s">
        <v>398</v>
      </c>
    </row>
    <row r="951" spans="7:12" x14ac:dyDescent="0.2">
      <c r="G951" s="55" t="s">
        <v>860</v>
      </c>
      <c r="H951" s="55" t="s">
        <v>202</v>
      </c>
      <c r="I951" s="55" t="s">
        <v>1131</v>
      </c>
      <c r="J951" s="55" t="s">
        <v>1132</v>
      </c>
      <c r="K951" s="342" t="s">
        <v>1127</v>
      </c>
      <c r="L951" s="140" t="s">
        <v>360</v>
      </c>
    </row>
    <row r="952" spans="7:12" x14ac:dyDescent="0.2">
      <c r="G952" s="55" t="s">
        <v>1096</v>
      </c>
      <c r="H952" s="55" t="s">
        <v>390</v>
      </c>
      <c r="I952" s="55" t="s">
        <v>961</v>
      </c>
      <c r="J952" s="55" t="s">
        <v>1133</v>
      </c>
      <c r="K952" s="342" t="s">
        <v>1127</v>
      </c>
      <c r="L952" s="140" t="s">
        <v>380</v>
      </c>
    </row>
    <row r="953" spans="7:12" x14ac:dyDescent="0.2">
      <c r="G953" s="55" t="s">
        <v>860</v>
      </c>
      <c r="H953" s="55" t="s">
        <v>192</v>
      </c>
      <c r="I953" s="55" t="s">
        <v>157</v>
      </c>
      <c r="J953" s="55" t="s">
        <v>1134</v>
      </c>
      <c r="K953" s="342" t="s">
        <v>1135</v>
      </c>
      <c r="L953" s="140" t="s">
        <v>398</v>
      </c>
    </row>
    <row r="954" spans="7:12" x14ac:dyDescent="0.2">
      <c r="G954" s="55" t="s">
        <v>860</v>
      </c>
      <c r="H954" s="55" t="s">
        <v>202</v>
      </c>
      <c r="I954" s="55" t="s">
        <v>1136</v>
      </c>
      <c r="J954" s="55" t="s">
        <v>973</v>
      </c>
      <c r="K954" s="342" t="s">
        <v>1135</v>
      </c>
      <c r="L954" s="140" t="s">
        <v>360</v>
      </c>
    </row>
    <row r="955" spans="7:12" x14ac:dyDescent="0.2">
      <c r="G955" s="55" t="s">
        <v>860</v>
      </c>
      <c r="H955" s="55" t="s">
        <v>202</v>
      </c>
      <c r="I955" s="55" t="s">
        <v>1137</v>
      </c>
      <c r="J955" s="55" t="s">
        <v>973</v>
      </c>
      <c r="K955" s="342" t="s">
        <v>1135</v>
      </c>
      <c r="L955" s="140" t="s">
        <v>360</v>
      </c>
    </row>
    <row r="956" spans="7:12" x14ac:dyDescent="0.2">
      <c r="G956" s="55" t="s">
        <v>31</v>
      </c>
      <c r="H956" s="55" t="s">
        <v>383</v>
      </c>
      <c r="I956" s="55" t="s">
        <v>838</v>
      </c>
      <c r="J956" s="55" t="s">
        <v>1138</v>
      </c>
      <c r="K956" s="342" t="s">
        <v>1135</v>
      </c>
      <c r="L956" s="140" t="s">
        <v>400</v>
      </c>
    </row>
    <row r="957" spans="7:12" x14ac:dyDescent="0.2">
      <c r="G957" s="55" t="s">
        <v>860</v>
      </c>
      <c r="H957" s="55" t="s">
        <v>751</v>
      </c>
      <c r="I957" s="55" t="s">
        <v>1009</v>
      </c>
      <c r="J957" s="55" t="s">
        <v>752</v>
      </c>
      <c r="K957" s="342" t="s">
        <v>1135</v>
      </c>
      <c r="L957" s="140" t="s">
        <v>360</v>
      </c>
    </row>
    <row r="958" spans="7:12" x14ac:dyDescent="0.2">
      <c r="G958" s="55" t="s">
        <v>1096</v>
      </c>
      <c r="H958" s="55" t="s">
        <v>205</v>
      </c>
      <c r="I958" s="55" t="s">
        <v>1118</v>
      </c>
      <c r="J958" s="55" t="s">
        <v>1139</v>
      </c>
      <c r="K958" s="55" t="s">
        <v>1135</v>
      </c>
      <c r="L958" s="55" t="s">
        <v>380</v>
      </c>
    </row>
    <row r="959" spans="7:12" x14ac:dyDescent="0.2">
      <c r="G959" s="55" t="s">
        <v>1096</v>
      </c>
      <c r="H959" s="55" t="s">
        <v>1140</v>
      </c>
      <c r="I959" s="55" t="s">
        <v>1141</v>
      </c>
      <c r="J959" s="55" t="s">
        <v>1142</v>
      </c>
      <c r="K959" s="55" t="s">
        <v>1143</v>
      </c>
      <c r="L959" s="55" t="s">
        <v>398</v>
      </c>
    </row>
    <row r="960" spans="7:12" x14ac:dyDescent="0.2">
      <c r="G960" s="55" t="s">
        <v>31</v>
      </c>
      <c r="H960" s="55" t="s">
        <v>213</v>
      </c>
      <c r="I960" s="55" t="s">
        <v>56</v>
      </c>
      <c r="J960" s="55" t="s">
        <v>1144</v>
      </c>
      <c r="K960" s="55" t="s">
        <v>1143</v>
      </c>
      <c r="L960" s="140" t="s">
        <v>398</v>
      </c>
    </row>
    <row r="961" spans="7:12" x14ac:dyDescent="0.2">
      <c r="G961" s="55" t="s">
        <v>860</v>
      </c>
      <c r="H961" s="55" t="s">
        <v>358</v>
      </c>
      <c r="I961" s="55" t="s">
        <v>167</v>
      </c>
      <c r="J961" s="55" t="s">
        <v>1145</v>
      </c>
      <c r="K961" s="55" t="s">
        <v>1143</v>
      </c>
      <c r="L961" s="140" t="s">
        <v>360</v>
      </c>
    </row>
    <row r="962" spans="7:12" x14ac:dyDescent="0.2">
      <c r="G962" s="55" t="s">
        <v>860</v>
      </c>
      <c r="H962" s="55" t="s">
        <v>358</v>
      </c>
      <c r="I962" s="55" t="s">
        <v>157</v>
      </c>
      <c r="J962" s="55" t="s">
        <v>1146</v>
      </c>
      <c r="K962" s="55" t="s">
        <v>1143</v>
      </c>
      <c r="L962" s="140" t="s">
        <v>380</v>
      </c>
    </row>
    <row r="963" spans="7:12" x14ac:dyDescent="0.2">
      <c r="G963" s="55" t="s">
        <v>860</v>
      </c>
      <c r="H963" s="55" t="s">
        <v>341</v>
      </c>
      <c r="I963" s="55" t="s">
        <v>169</v>
      </c>
      <c r="J963" s="55" t="s">
        <v>1147</v>
      </c>
      <c r="K963" s="55" t="s">
        <v>1143</v>
      </c>
      <c r="L963" s="140" t="s">
        <v>398</v>
      </c>
    </row>
    <row r="964" spans="7:12" x14ac:dyDescent="0.2">
      <c r="G964" s="55" t="s">
        <v>1096</v>
      </c>
      <c r="H964" s="55" t="s">
        <v>205</v>
      </c>
      <c r="I964" s="157" t="s">
        <v>1107</v>
      </c>
      <c r="J964" s="55" t="s">
        <v>1108</v>
      </c>
      <c r="K964" s="56">
        <v>45982</v>
      </c>
      <c r="L964" s="140" t="s">
        <v>380</v>
      </c>
    </row>
    <row r="965" spans="7:12" x14ac:dyDescent="0.2">
      <c r="G965" s="149" t="s">
        <v>1089</v>
      </c>
      <c r="H965" s="149" t="s">
        <v>1119</v>
      </c>
      <c r="I965" s="149" t="s">
        <v>157</v>
      </c>
      <c r="J965" s="149" t="s">
        <v>698</v>
      </c>
      <c r="K965" s="231">
        <v>45978</v>
      </c>
      <c r="L965" s="176"/>
    </row>
    <row r="966" spans="7:12" x14ac:dyDescent="0.2">
      <c r="G966" s="149" t="s">
        <v>1148</v>
      </c>
      <c r="H966" s="149" t="s">
        <v>1149</v>
      </c>
      <c r="I966" s="149" t="s">
        <v>1150</v>
      </c>
      <c r="J966" s="149" t="s">
        <v>698</v>
      </c>
      <c r="K966" s="231">
        <v>45979</v>
      </c>
      <c r="L966" s="176"/>
    </row>
    <row r="967" spans="7:12" x14ac:dyDescent="0.2">
      <c r="G967" s="149" t="s">
        <v>1071</v>
      </c>
      <c r="H967" s="149" t="s">
        <v>1151</v>
      </c>
      <c r="I967" s="149" t="s">
        <v>1141</v>
      </c>
      <c r="J967" s="149" t="s">
        <v>698</v>
      </c>
      <c r="K967" s="231">
        <v>45979</v>
      </c>
      <c r="L967" s="176"/>
    </row>
    <row r="968" spans="7:12" x14ac:dyDescent="0.2">
      <c r="G968" s="149" t="s">
        <v>1071</v>
      </c>
      <c r="H968" s="149" t="s">
        <v>1119</v>
      </c>
      <c r="I968" s="149" t="s">
        <v>1074</v>
      </c>
      <c r="J968" s="149" t="s">
        <v>698</v>
      </c>
      <c r="K968" s="231">
        <v>45979</v>
      </c>
      <c r="L968" s="176"/>
    </row>
    <row r="969" spans="7:12" x14ac:dyDescent="0.2">
      <c r="G969" s="149" t="s">
        <v>1071</v>
      </c>
      <c r="H969" s="149" t="s">
        <v>960</v>
      </c>
      <c r="I969" s="149" t="s">
        <v>908</v>
      </c>
      <c r="J969" s="149" t="s">
        <v>698</v>
      </c>
      <c r="K969" s="231">
        <v>45980</v>
      </c>
      <c r="L969" s="176"/>
    </row>
    <row r="970" spans="7:12" x14ac:dyDescent="0.2">
      <c r="G970" s="339" t="s">
        <v>1148</v>
      </c>
      <c r="H970" s="339" t="s">
        <v>1119</v>
      </c>
      <c r="I970" s="339" t="s">
        <v>885</v>
      </c>
      <c r="J970" s="339" t="s">
        <v>698</v>
      </c>
      <c r="K970" s="340">
        <v>45981</v>
      </c>
      <c r="L970" s="341"/>
    </row>
    <row r="971" spans="7:12" x14ac:dyDescent="0.2">
      <c r="G971" s="339" t="s">
        <v>1071</v>
      </c>
      <c r="H971" s="339" t="s">
        <v>1119</v>
      </c>
      <c r="I971" s="339" t="s">
        <v>81</v>
      </c>
      <c r="J971" s="339" t="s">
        <v>698</v>
      </c>
      <c r="K971" s="340">
        <v>45981</v>
      </c>
      <c r="L971" s="341"/>
    </row>
    <row r="972" spans="7:12" x14ac:dyDescent="0.2">
      <c r="G972" s="61" t="s">
        <v>349</v>
      </c>
      <c r="H972" s="61" t="s">
        <v>349</v>
      </c>
      <c r="I972" s="61" t="s">
        <v>349</v>
      </c>
      <c r="J972" s="61" t="s">
        <v>349</v>
      </c>
      <c r="K972" s="216" t="s">
        <v>349</v>
      </c>
      <c r="L972" s="61" t="s">
        <v>349</v>
      </c>
    </row>
    <row r="973" spans="7:12" x14ac:dyDescent="0.2">
      <c r="G973" s="55" t="s">
        <v>31</v>
      </c>
      <c r="H973" s="55" t="s">
        <v>213</v>
      </c>
      <c r="I973" s="55" t="s">
        <v>908</v>
      </c>
      <c r="J973" s="55" t="s">
        <v>1152</v>
      </c>
      <c r="K973" s="55" t="s">
        <v>1153</v>
      </c>
      <c r="L973" s="140" t="s">
        <v>360</v>
      </c>
    </row>
    <row r="974" spans="7:12" x14ac:dyDescent="0.2">
      <c r="G974" s="55" t="s">
        <v>860</v>
      </c>
      <c r="H974" s="55" t="s">
        <v>192</v>
      </c>
      <c r="I974" s="55" t="s">
        <v>157</v>
      </c>
      <c r="J974" s="55" t="s">
        <v>1154</v>
      </c>
      <c r="K974" s="55" t="s">
        <v>1153</v>
      </c>
      <c r="L974" s="140" t="s">
        <v>380</v>
      </c>
    </row>
    <row r="975" spans="7:12" x14ac:dyDescent="0.2">
      <c r="G975" s="55" t="s">
        <v>860</v>
      </c>
      <c r="H975" s="55" t="s">
        <v>1155</v>
      </c>
      <c r="I975" s="55" t="s">
        <v>157</v>
      </c>
      <c r="J975" s="55" t="s">
        <v>1156</v>
      </c>
      <c r="K975" s="55" t="s">
        <v>1153</v>
      </c>
      <c r="L975" s="140" t="s">
        <v>380</v>
      </c>
    </row>
    <row r="976" spans="7:12" x14ac:dyDescent="0.2">
      <c r="G976" s="55" t="s">
        <v>31</v>
      </c>
      <c r="H976" s="55" t="s">
        <v>230</v>
      </c>
      <c r="I976" s="55" t="s">
        <v>56</v>
      </c>
      <c r="J976" s="55" t="s">
        <v>1157</v>
      </c>
      <c r="K976" s="342">
        <v>45986</v>
      </c>
      <c r="L976" s="140" t="s">
        <v>398</v>
      </c>
    </row>
    <row r="977" spans="7:12" x14ac:dyDescent="0.2">
      <c r="G977" s="55" t="s">
        <v>1063</v>
      </c>
      <c r="H977" s="55" t="s">
        <v>213</v>
      </c>
      <c r="I977" s="55" t="s">
        <v>885</v>
      </c>
      <c r="J977" s="55" t="s">
        <v>1158</v>
      </c>
      <c r="K977" s="56" t="s">
        <v>1159</v>
      </c>
      <c r="L977" s="140" t="s">
        <v>398</v>
      </c>
    </row>
    <row r="978" spans="7:12" x14ac:dyDescent="0.2">
      <c r="G978" s="55" t="s">
        <v>1063</v>
      </c>
      <c r="H978" s="55" t="s">
        <v>192</v>
      </c>
      <c r="I978" s="55" t="s">
        <v>885</v>
      </c>
      <c r="J978" s="55" t="s">
        <v>1160</v>
      </c>
      <c r="K978" s="56" t="s">
        <v>1159</v>
      </c>
      <c r="L978" s="140" t="s">
        <v>400</v>
      </c>
    </row>
    <row r="979" spans="7:12" x14ac:dyDescent="0.2">
      <c r="G979" s="55" t="s">
        <v>1063</v>
      </c>
      <c r="H979" s="55" t="s">
        <v>358</v>
      </c>
      <c r="I979" s="55" t="s">
        <v>155</v>
      </c>
      <c r="J979" s="55" t="s">
        <v>591</v>
      </c>
      <c r="K979" s="56" t="s">
        <v>1159</v>
      </c>
      <c r="L979" s="140" t="s">
        <v>360</v>
      </c>
    </row>
    <row r="980" spans="7:12" x14ac:dyDescent="0.2">
      <c r="G980" s="55" t="s">
        <v>1096</v>
      </c>
      <c r="H980" s="55" t="s">
        <v>205</v>
      </c>
      <c r="I980" s="55" t="s">
        <v>1161</v>
      </c>
      <c r="J980" s="55" t="s">
        <v>1162</v>
      </c>
      <c r="K980" s="56" t="s">
        <v>1159</v>
      </c>
      <c r="L980" s="140" t="s">
        <v>398</v>
      </c>
    </row>
    <row r="981" spans="7:12" x14ac:dyDescent="0.2">
      <c r="G981" s="55" t="s">
        <v>860</v>
      </c>
      <c r="H981" s="55" t="s">
        <v>192</v>
      </c>
      <c r="I981" s="55" t="s">
        <v>643</v>
      </c>
      <c r="J981" s="55" t="s">
        <v>1163</v>
      </c>
      <c r="K981" s="56" t="s">
        <v>1159</v>
      </c>
      <c r="L981" s="140" t="s">
        <v>360</v>
      </c>
    </row>
    <row r="982" spans="7:12" x14ac:dyDescent="0.2">
      <c r="G982" s="55" t="s">
        <v>860</v>
      </c>
      <c r="H982" s="55" t="s">
        <v>1155</v>
      </c>
      <c r="I982" s="55" t="s">
        <v>643</v>
      </c>
      <c r="J982" s="55" t="s">
        <v>1164</v>
      </c>
      <c r="K982" s="56" t="s">
        <v>1159</v>
      </c>
      <c r="L982" s="140" t="s">
        <v>360</v>
      </c>
    </row>
    <row r="983" spans="7:12" x14ac:dyDescent="0.2">
      <c r="G983" s="55" t="s">
        <v>860</v>
      </c>
      <c r="H983" s="55" t="s">
        <v>192</v>
      </c>
      <c r="I983" s="55" t="s">
        <v>838</v>
      </c>
      <c r="J983" s="55" t="s">
        <v>1027</v>
      </c>
      <c r="K983" s="56" t="s">
        <v>1159</v>
      </c>
      <c r="L983" s="140" t="s">
        <v>380</v>
      </c>
    </row>
    <row r="984" spans="7:12" x14ac:dyDescent="0.2">
      <c r="G984" s="55" t="s">
        <v>860</v>
      </c>
      <c r="H984" s="55" t="s">
        <v>257</v>
      </c>
      <c r="I984" s="55" t="s">
        <v>643</v>
      </c>
      <c r="J984" s="55" t="s">
        <v>1165</v>
      </c>
      <c r="K984" s="56" t="s">
        <v>1166</v>
      </c>
      <c r="L984" s="140" t="s">
        <v>360</v>
      </c>
    </row>
    <row r="985" spans="7:12" x14ac:dyDescent="0.2">
      <c r="G985" s="55" t="s">
        <v>1096</v>
      </c>
      <c r="H985" s="55" t="s">
        <v>230</v>
      </c>
      <c r="I985" s="55" t="s">
        <v>1100</v>
      </c>
      <c r="J985" s="55" t="s">
        <v>1167</v>
      </c>
      <c r="K985" s="56" t="s">
        <v>1166</v>
      </c>
      <c r="L985" s="140" t="s">
        <v>398</v>
      </c>
    </row>
    <row r="986" spans="7:12" x14ac:dyDescent="0.2">
      <c r="G986" s="55" t="s">
        <v>860</v>
      </c>
      <c r="H986" s="55" t="s">
        <v>257</v>
      </c>
      <c r="I986" s="55" t="s">
        <v>643</v>
      </c>
      <c r="J986" s="55" t="s">
        <v>1168</v>
      </c>
      <c r="K986" s="56" t="s">
        <v>1166</v>
      </c>
      <c r="L986" s="140" t="s">
        <v>360</v>
      </c>
    </row>
    <row r="987" spans="7:12" x14ac:dyDescent="0.2">
      <c r="G987" s="55" t="s">
        <v>860</v>
      </c>
      <c r="H987" s="55" t="s">
        <v>1169</v>
      </c>
      <c r="I987" s="55" t="s">
        <v>157</v>
      </c>
      <c r="J987" s="55" t="s">
        <v>1170</v>
      </c>
      <c r="K987" s="56" t="s">
        <v>1166</v>
      </c>
      <c r="L987" s="140" t="s">
        <v>380</v>
      </c>
    </row>
    <row r="988" spans="7:12" x14ac:dyDescent="0.2">
      <c r="G988" s="55" t="s">
        <v>860</v>
      </c>
      <c r="H988" s="55" t="s">
        <v>751</v>
      </c>
      <c r="I988" s="55" t="s">
        <v>1009</v>
      </c>
      <c r="J988" s="55" t="s">
        <v>1069</v>
      </c>
      <c r="K988" s="56" t="s">
        <v>1166</v>
      </c>
      <c r="L988" s="140" t="s">
        <v>360</v>
      </c>
    </row>
    <row r="989" spans="7:12" x14ac:dyDescent="0.2">
      <c r="G989" s="55" t="s">
        <v>860</v>
      </c>
      <c r="H989" s="55" t="s">
        <v>192</v>
      </c>
      <c r="I989" s="55" t="s">
        <v>1009</v>
      </c>
      <c r="J989" s="55" t="s">
        <v>1171</v>
      </c>
      <c r="K989" s="56" t="s">
        <v>1166</v>
      </c>
      <c r="L989" s="140" t="s">
        <v>360</v>
      </c>
    </row>
    <row r="990" spans="7:12" x14ac:dyDescent="0.2">
      <c r="G990" s="55" t="s">
        <v>860</v>
      </c>
      <c r="H990" s="55" t="s">
        <v>1172</v>
      </c>
      <c r="I990" s="55" t="s">
        <v>157</v>
      </c>
      <c r="J990" s="55" t="s">
        <v>1173</v>
      </c>
      <c r="K990" s="56" t="s">
        <v>1174</v>
      </c>
      <c r="L990" s="140" t="s">
        <v>360</v>
      </c>
    </row>
    <row r="991" spans="7:12" x14ac:dyDescent="0.2">
      <c r="G991" s="55" t="s">
        <v>860</v>
      </c>
      <c r="H991" s="55" t="s">
        <v>192</v>
      </c>
      <c r="I991" s="55" t="s">
        <v>1009</v>
      </c>
      <c r="J991" s="55" t="s">
        <v>1175</v>
      </c>
      <c r="K991" s="56" t="s">
        <v>1174</v>
      </c>
      <c r="L991" s="140" t="s">
        <v>360</v>
      </c>
    </row>
    <row r="992" spans="7:12" x14ac:dyDescent="0.2">
      <c r="G992" s="55" t="s">
        <v>1063</v>
      </c>
      <c r="H992" s="55" t="s">
        <v>205</v>
      </c>
      <c r="I992" s="55" t="s">
        <v>155</v>
      </c>
      <c r="J992" s="55" t="s">
        <v>1176</v>
      </c>
      <c r="K992" s="56" t="s">
        <v>1174</v>
      </c>
      <c r="L992" s="140" t="s">
        <v>380</v>
      </c>
    </row>
    <row r="993" spans="7:12" x14ac:dyDescent="0.2">
      <c r="G993" s="55" t="s">
        <v>860</v>
      </c>
      <c r="H993" s="55" t="s">
        <v>529</v>
      </c>
      <c r="I993" s="55" t="s">
        <v>838</v>
      </c>
      <c r="J993" s="55" t="s">
        <v>1177</v>
      </c>
      <c r="K993" s="56" t="s">
        <v>1174</v>
      </c>
      <c r="L993" s="140" t="s">
        <v>398</v>
      </c>
    </row>
    <row r="994" spans="7:12" x14ac:dyDescent="0.2">
      <c r="G994" s="149" t="s">
        <v>1148</v>
      </c>
      <c r="H994" s="149" t="s">
        <v>1178</v>
      </c>
      <c r="I994" s="149" t="s">
        <v>1118</v>
      </c>
      <c r="J994" s="149" t="s">
        <v>698</v>
      </c>
      <c r="K994" s="231">
        <v>45986</v>
      </c>
      <c r="L994" s="176"/>
    </row>
    <row r="995" spans="7:12" x14ac:dyDescent="0.2">
      <c r="G995" s="149" t="s">
        <v>1179</v>
      </c>
      <c r="H995" s="149" t="s">
        <v>1117</v>
      </c>
      <c r="I995" s="149" t="s">
        <v>1150</v>
      </c>
      <c r="J995" s="149" t="s">
        <v>698</v>
      </c>
      <c r="K995" s="231">
        <v>45986</v>
      </c>
      <c r="L995" s="176"/>
    </row>
    <row r="996" spans="7:12" x14ac:dyDescent="0.2">
      <c r="G996" s="149" t="s">
        <v>1148</v>
      </c>
      <c r="H996" s="149" t="s">
        <v>1119</v>
      </c>
      <c r="I996" s="149" t="s">
        <v>1180</v>
      </c>
      <c r="J996" s="149" t="s">
        <v>698</v>
      </c>
      <c r="K996" s="231">
        <v>45986</v>
      </c>
      <c r="L996" s="176"/>
    </row>
    <row r="997" spans="7:12" x14ac:dyDescent="0.2">
      <c r="G997" s="149" t="s">
        <v>1181</v>
      </c>
      <c r="H997" s="149" t="s">
        <v>656</v>
      </c>
      <c r="I997" s="149" t="s">
        <v>1182</v>
      </c>
      <c r="J997" s="149" t="s">
        <v>698</v>
      </c>
      <c r="K997" s="231">
        <v>45988</v>
      </c>
      <c r="L997" s="176"/>
    </row>
    <row r="998" spans="7:12" x14ac:dyDescent="0.2">
      <c r="G998" s="149" t="s">
        <v>1148</v>
      </c>
      <c r="H998" s="149" t="s">
        <v>1183</v>
      </c>
      <c r="I998" s="149" t="s">
        <v>1184</v>
      </c>
      <c r="J998" s="149" t="s">
        <v>698</v>
      </c>
      <c r="K998" s="231">
        <v>45988</v>
      </c>
      <c r="L998" s="176"/>
    </row>
    <row r="999" spans="7:12" x14ac:dyDescent="0.2">
      <c r="G999" s="149" t="s">
        <v>1148</v>
      </c>
      <c r="H999" s="149" t="s">
        <v>1119</v>
      </c>
      <c r="I999" s="149" t="s">
        <v>167</v>
      </c>
      <c r="J999" s="149" t="s">
        <v>698</v>
      </c>
      <c r="K999" s="231">
        <v>45988</v>
      </c>
      <c r="L999" s="176"/>
    </row>
    <row r="1000" spans="7:12" x14ac:dyDescent="0.2">
      <c r="G1000" s="149" t="s">
        <v>1148</v>
      </c>
      <c r="H1000" s="149" t="s">
        <v>1119</v>
      </c>
      <c r="I1000" s="149" t="s">
        <v>1074</v>
      </c>
      <c r="J1000" s="149" t="s">
        <v>698</v>
      </c>
      <c r="K1000" s="231">
        <v>45988</v>
      </c>
      <c r="L1000" s="176"/>
    </row>
    <row r="1001" spans="7:12" x14ac:dyDescent="0.2">
      <c r="G1001" s="149" t="s">
        <v>1148</v>
      </c>
      <c r="H1001" s="149" t="s">
        <v>1185</v>
      </c>
      <c r="I1001" s="149" t="s">
        <v>1186</v>
      </c>
      <c r="J1001" s="149" t="s">
        <v>698</v>
      </c>
      <c r="K1001" s="231">
        <v>46018</v>
      </c>
      <c r="L1001" s="176"/>
    </row>
    <row r="1002" spans="7:12" x14ac:dyDescent="0.2">
      <c r="G1002" s="149" t="s">
        <v>1071</v>
      </c>
      <c r="H1002" s="149" t="s">
        <v>1183</v>
      </c>
      <c r="I1002" s="149" t="s">
        <v>1187</v>
      </c>
      <c r="J1002" s="149" t="s">
        <v>698</v>
      </c>
      <c r="K1002" s="231">
        <v>45989</v>
      </c>
      <c r="L1002" s="176"/>
    </row>
    <row r="1003" spans="7:12" x14ac:dyDescent="0.2">
      <c r="G1003" s="61" t="s">
        <v>361</v>
      </c>
      <c r="H1003" s="61" t="s">
        <v>361</v>
      </c>
      <c r="I1003" s="61" t="s">
        <v>361</v>
      </c>
      <c r="J1003" s="61" t="s">
        <v>361</v>
      </c>
      <c r="K1003" s="216" t="s">
        <v>361</v>
      </c>
      <c r="L1003" s="61" t="s">
        <v>361</v>
      </c>
    </row>
    <row r="1004" spans="7:12" x14ac:dyDescent="0.2">
      <c r="G1004" s="55" t="s">
        <v>31</v>
      </c>
      <c r="H1004" s="55" t="s">
        <v>205</v>
      </c>
      <c r="I1004" s="55" t="s">
        <v>1059</v>
      </c>
      <c r="J1004" s="55" t="s">
        <v>1188</v>
      </c>
      <c r="K1004" s="140" t="s">
        <v>1189</v>
      </c>
      <c r="L1004" s="140" t="s">
        <v>380</v>
      </c>
    </row>
    <row r="1005" spans="7:12" x14ac:dyDescent="0.2">
      <c r="G1005" s="55" t="s">
        <v>1096</v>
      </c>
      <c r="H1005" s="55" t="s">
        <v>1140</v>
      </c>
      <c r="I1005" s="55" t="s">
        <v>1051</v>
      </c>
      <c r="J1005" s="55" t="s">
        <v>1190</v>
      </c>
      <c r="K1005" s="342">
        <v>45993</v>
      </c>
      <c r="L1005" s="140" t="s">
        <v>360</v>
      </c>
    </row>
    <row r="1006" spans="7:12" x14ac:dyDescent="0.2">
      <c r="G1006" s="55" t="s">
        <v>1096</v>
      </c>
      <c r="H1006" s="55" t="s">
        <v>390</v>
      </c>
      <c r="I1006" s="55" t="s">
        <v>961</v>
      </c>
      <c r="J1006" s="55" t="s">
        <v>1191</v>
      </c>
      <c r="K1006" s="342">
        <v>45993</v>
      </c>
      <c r="L1006" s="55" t="s">
        <v>398</v>
      </c>
    </row>
    <row r="1007" spans="7:12" x14ac:dyDescent="0.2">
      <c r="G1007" s="55" t="s">
        <v>860</v>
      </c>
      <c r="H1007" s="55" t="s">
        <v>192</v>
      </c>
      <c r="I1007" s="55" t="s">
        <v>838</v>
      </c>
      <c r="J1007" s="55" t="s">
        <v>1192</v>
      </c>
      <c r="K1007" s="342">
        <v>45993</v>
      </c>
      <c r="L1007" s="140" t="s">
        <v>398</v>
      </c>
    </row>
    <row r="1008" spans="7:12" x14ac:dyDescent="0.2">
      <c r="G1008" s="55" t="s">
        <v>860</v>
      </c>
      <c r="H1008" s="55" t="s">
        <v>751</v>
      </c>
      <c r="I1008" s="55" t="s">
        <v>838</v>
      </c>
      <c r="J1008" s="55" t="s">
        <v>1193</v>
      </c>
      <c r="K1008" s="342">
        <v>45993</v>
      </c>
      <c r="L1008" s="140" t="s">
        <v>398</v>
      </c>
    </row>
    <row r="1009" spans="7:12" x14ac:dyDescent="0.2">
      <c r="G1009" s="55" t="s">
        <v>860</v>
      </c>
      <c r="H1009" s="55" t="s">
        <v>358</v>
      </c>
      <c r="I1009" s="55" t="s">
        <v>167</v>
      </c>
      <c r="J1009" s="55" t="s">
        <v>1194</v>
      </c>
      <c r="K1009" s="342">
        <v>45993</v>
      </c>
      <c r="L1009" s="140" t="s">
        <v>360</v>
      </c>
    </row>
    <row r="1010" spans="7:12" x14ac:dyDescent="0.2">
      <c r="G1010" s="55" t="s">
        <v>1063</v>
      </c>
      <c r="H1010" s="55" t="s">
        <v>230</v>
      </c>
      <c r="I1010" s="55" t="s">
        <v>885</v>
      </c>
      <c r="J1010" s="55" t="s">
        <v>1195</v>
      </c>
      <c r="K1010" s="342">
        <v>45993</v>
      </c>
      <c r="L1010" s="140" t="s">
        <v>400</v>
      </c>
    </row>
    <row r="1011" spans="7:12" x14ac:dyDescent="0.2">
      <c r="G1011" s="55" t="s">
        <v>1096</v>
      </c>
      <c r="H1011" s="55" t="s">
        <v>230</v>
      </c>
      <c r="I1011" s="55" t="s">
        <v>1012</v>
      </c>
      <c r="J1011" s="55" t="s">
        <v>1196</v>
      </c>
      <c r="K1011" s="140" t="s">
        <v>1197</v>
      </c>
      <c r="L1011" s="55" t="s">
        <v>380</v>
      </c>
    </row>
    <row r="1012" spans="7:12" x14ac:dyDescent="0.2">
      <c r="G1012" s="55" t="s">
        <v>31</v>
      </c>
      <c r="H1012" s="55" t="s">
        <v>230</v>
      </c>
      <c r="I1012" s="55" t="s">
        <v>830</v>
      </c>
      <c r="J1012" s="55" t="s">
        <v>1198</v>
      </c>
      <c r="K1012" s="140" t="s">
        <v>1197</v>
      </c>
      <c r="L1012" s="140" t="s">
        <v>380</v>
      </c>
    </row>
    <row r="1013" spans="7:12" x14ac:dyDescent="0.2">
      <c r="G1013" s="55" t="s">
        <v>1096</v>
      </c>
      <c r="H1013" s="55" t="s">
        <v>390</v>
      </c>
      <c r="I1013" s="55" t="s">
        <v>1051</v>
      </c>
      <c r="J1013" s="55" t="s">
        <v>1199</v>
      </c>
      <c r="K1013" s="140" t="s">
        <v>1197</v>
      </c>
      <c r="L1013" s="140" t="s">
        <v>398</v>
      </c>
    </row>
    <row r="1014" spans="7:12" x14ac:dyDescent="0.2">
      <c r="G1014" s="55" t="s">
        <v>1096</v>
      </c>
      <c r="H1014" s="55" t="s">
        <v>205</v>
      </c>
      <c r="I1014" s="157" t="s">
        <v>1107</v>
      </c>
      <c r="J1014" s="55" t="s">
        <v>1200</v>
      </c>
      <c r="K1014" s="140" t="s">
        <v>1201</v>
      </c>
      <c r="L1014" s="140" t="s">
        <v>380</v>
      </c>
    </row>
    <row r="1015" spans="7:12" x14ac:dyDescent="0.2">
      <c r="G1015" s="55" t="s">
        <v>1063</v>
      </c>
      <c r="H1015" s="55" t="s">
        <v>205</v>
      </c>
      <c r="I1015" s="55" t="s">
        <v>155</v>
      </c>
      <c r="J1015" s="55" t="s">
        <v>1202</v>
      </c>
      <c r="K1015" s="140" t="s">
        <v>1201</v>
      </c>
      <c r="L1015" s="140" t="s">
        <v>380</v>
      </c>
    </row>
    <row r="1016" spans="7:12" x14ac:dyDescent="0.2">
      <c r="G1016" s="55" t="s">
        <v>31</v>
      </c>
      <c r="H1016" s="55" t="s">
        <v>230</v>
      </c>
      <c r="I1016" s="55" t="s">
        <v>830</v>
      </c>
      <c r="J1016" s="55" t="s">
        <v>1203</v>
      </c>
      <c r="K1016" s="140" t="s">
        <v>1201</v>
      </c>
      <c r="L1016" s="140" t="s">
        <v>398</v>
      </c>
    </row>
    <row r="1017" spans="7:12" x14ac:dyDescent="0.2">
      <c r="G1017" s="55" t="s">
        <v>1096</v>
      </c>
      <c r="H1017" s="55" t="s">
        <v>250</v>
      </c>
      <c r="I1017" s="157" t="s">
        <v>1107</v>
      </c>
      <c r="J1017" s="55" t="s">
        <v>1204</v>
      </c>
      <c r="K1017" s="140" t="s">
        <v>1201</v>
      </c>
      <c r="L1017" s="140" t="s">
        <v>380</v>
      </c>
    </row>
    <row r="1018" spans="7:12" x14ac:dyDescent="0.2">
      <c r="G1018" s="55" t="s">
        <v>860</v>
      </c>
      <c r="H1018" s="55" t="s">
        <v>230</v>
      </c>
      <c r="I1018" s="55" t="s">
        <v>643</v>
      </c>
      <c r="J1018" s="55" t="s">
        <v>1205</v>
      </c>
      <c r="K1018" s="140" t="s">
        <v>1201</v>
      </c>
      <c r="L1018" s="140" t="s">
        <v>360</v>
      </c>
    </row>
    <row r="1019" spans="7:12" x14ac:dyDescent="0.2">
      <c r="G1019" s="55" t="s">
        <v>860</v>
      </c>
      <c r="H1019" s="55" t="s">
        <v>1172</v>
      </c>
      <c r="I1019" s="55" t="s">
        <v>157</v>
      </c>
      <c r="J1019" s="55" t="s">
        <v>1206</v>
      </c>
      <c r="K1019" s="140" t="s">
        <v>1207</v>
      </c>
      <c r="L1019" s="140" t="s">
        <v>380</v>
      </c>
    </row>
    <row r="1020" spans="7:12" x14ac:dyDescent="0.2">
      <c r="G1020" s="55" t="s">
        <v>860</v>
      </c>
      <c r="H1020" s="55" t="s">
        <v>273</v>
      </c>
      <c r="I1020" s="55" t="s">
        <v>1091</v>
      </c>
      <c r="J1020" s="55" t="s">
        <v>1208</v>
      </c>
      <c r="K1020" s="140" t="s">
        <v>1207</v>
      </c>
      <c r="L1020" s="140" t="s">
        <v>360</v>
      </c>
    </row>
    <row r="1021" spans="7:12" x14ac:dyDescent="0.2">
      <c r="G1021" s="55" t="s">
        <v>860</v>
      </c>
      <c r="H1021" s="55" t="s">
        <v>273</v>
      </c>
      <c r="I1021" s="55" t="s">
        <v>1091</v>
      </c>
      <c r="J1021" s="55" t="s">
        <v>1209</v>
      </c>
      <c r="K1021" s="140" t="s">
        <v>1207</v>
      </c>
      <c r="L1021" s="140" t="s">
        <v>360</v>
      </c>
    </row>
    <row r="1022" spans="7:12" x14ac:dyDescent="0.2">
      <c r="G1022" s="149" t="s">
        <v>1210</v>
      </c>
      <c r="H1022" s="149" t="s">
        <v>1149</v>
      </c>
      <c r="I1022" s="149" t="s">
        <v>1211</v>
      </c>
      <c r="J1022" s="149" t="s">
        <v>698</v>
      </c>
      <c r="K1022" s="231">
        <v>45993</v>
      </c>
      <c r="L1022" s="176"/>
    </row>
    <row r="1023" spans="7:12" x14ac:dyDescent="0.2">
      <c r="G1023" s="149" t="s">
        <v>1148</v>
      </c>
      <c r="H1023" s="149" t="s">
        <v>1183</v>
      </c>
      <c r="I1023" s="149" t="s">
        <v>179</v>
      </c>
      <c r="J1023" s="149" t="s">
        <v>698</v>
      </c>
      <c r="K1023" s="231">
        <v>45262</v>
      </c>
      <c r="L1023" s="176"/>
    </row>
    <row r="1024" spans="7:12" x14ac:dyDescent="0.2">
      <c r="G1024" s="149" t="s">
        <v>1071</v>
      </c>
      <c r="H1024" s="149" t="s">
        <v>1183</v>
      </c>
      <c r="I1024" s="149" t="s">
        <v>1187</v>
      </c>
      <c r="J1024" s="149" t="s">
        <v>698</v>
      </c>
      <c r="K1024" s="231">
        <v>45994</v>
      </c>
      <c r="L1024" s="176"/>
    </row>
    <row r="1025" spans="7:12" x14ac:dyDescent="0.2">
      <c r="G1025" s="149" t="s">
        <v>1071</v>
      </c>
      <c r="H1025" s="149" t="s">
        <v>1119</v>
      </c>
      <c r="I1025" s="149" t="s">
        <v>157</v>
      </c>
      <c r="J1025" s="149" t="s">
        <v>698</v>
      </c>
      <c r="K1025" s="231">
        <v>45994</v>
      </c>
      <c r="L1025" s="176"/>
    </row>
    <row r="1026" spans="7:12" x14ac:dyDescent="0.2">
      <c r="G1026" s="61" t="s">
        <v>374</v>
      </c>
      <c r="H1026" s="61" t="s">
        <v>374</v>
      </c>
      <c r="I1026" s="61" t="s">
        <v>374</v>
      </c>
      <c r="J1026" s="61" t="s">
        <v>374</v>
      </c>
      <c r="K1026" s="216" t="s">
        <v>374</v>
      </c>
      <c r="L1026" s="61" t="s">
        <v>374</v>
      </c>
    </row>
    <row r="1027" spans="7:12" x14ac:dyDescent="0.2">
      <c r="G1027" s="55" t="s">
        <v>860</v>
      </c>
      <c r="H1027" s="55" t="s">
        <v>293</v>
      </c>
      <c r="I1027" s="55" t="s">
        <v>157</v>
      </c>
      <c r="J1027" s="55" t="s">
        <v>1212</v>
      </c>
      <c r="K1027" s="140" t="s">
        <v>1213</v>
      </c>
      <c r="L1027" s="140" t="s">
        <v>360</v>
      </c>
    </row>
    <row r="1028" spans="7:12" x14ac:dyDescent="0.2">
      <c r="G1028" s="55" t="s">
        <v>860</v>
      </c>
      <c r="H1028" s="55" t="s">
        <v>192</v>
      </c>
      <c r="I1028" s="55" t="s">
        <v>838</v>
      </c>
      <c r="J1028" s="55" t="s">
        <v>1214</v>
      </c>
      <c r="K1028" s="140" t="s">
        <v>1213</v>
      </c>
      <c r="L1028" s="140" t="s">
        <v>398</v>
      </c>
    </row>
    <row r="1029" spans="7:12" x14ac:dyDescent="0.2">
      <c r="G1029" s="55" t="s">
        <v>31</v>
      </c>
      <c r="H1029" s="55" t="s">
        <v>1215</v>
      </c>
      <c r="I1029" s="55" t="s">
        <v>546</v>
      </c>
      <c r="J1029" s="55" t="s">
        <v>1216</v>
      </c>
      <c r="K1029" s="140" t="s">
        <v>1213</v>
      </c>
      <c r="L1029" s="140" t="s">
        <v>1217</v>
      </c>
    </row>
    <row r="1030" spans="7:12" x14ac:dyDescent="0.2">
      <c r="G1030" s="55" t="s">
        <v>981</v>
      </c>
      <c r="H1030" s="55" t="s">
        <v>205</v>
      </c>
      <c r="I1030" s="55" t="s">
        <v>165</v>
      </c>
      <c r="J1030" s="55" t="s">
        <v>1034</v>
      </c>
      <c r="K1030" s="140" t="s">
        <v>1213</v>
      </c>
      <c r="L1030" s="140" t="s">
        <v>360</v>
      </c>
    </row>
    <row r="1031" spans="7:12" x14ac:dyDescent="0.2">
      <c r="G1031" s="55" t="s">
        <v>860</v>
      </c>
      <c r="H1031" s="55" t="s">
        <v>273</v>
      </c>
      <c r="I1031" s="55" t="s">
        <v>1218</v>
      </c>
      <c r="J1031" s="55" t="s">
        <v>1208</v>
      </c>
      <c r="K1031" s="140" t="s">
        <v>1219</v>
      </c>
      <c r="L1031" s="140" t="s">
        <v>360</v>
      </c>
    </row>
    <row r="1032" spans="7:12" x14ac:dyDescent="0.2">
      <c r="G1032" s="55" t="s">
        <v>860</v>
      </c>
      <c r="H1032" s="55" t="s">
        <v>273</v>
      </c>
      <c r="I1032" s="55" t="s">
        <v>157</v>
      </c>
      <c r="J1032" s="55" t="s">
        <v>1208</v>
      </c>
      <c r="K1032" s="140" t="s">
        <v>1219</v>
      </c>
      <c r="L1032" s="140" t="s">
        <v>380</v>
      </c>
    </row>
    <row r="1033" spans="7:12" x14ac:dyDescent="0.2">
      <c r="G1033" s="55" t="s">
        <v>860</v>
      </c>
      <c r="H1033" s="55" t="s">
        <v>273</v>
      </c>
      <c r="I1033" s="55" t="s">
        <v>838</v>
      </c>
      <c r="J1033" s="55" t="s">
        <v>1208</v>
      </c>
      <c r="K1033" s="140" t="s">
        <v>1219</v>
      </c>
      <c r="L1033" s="140" t="s">
        <v>398</v>
      </c>
    </row>
    <row r="1034" spans="7:12" x14ac:dyDescent="0.2">
      <c r="G1034" s="55" t="s">
        <v>860</v>
      </c>
      <c r="H1034" s="55" t="s">
        <v>273</v>
      </c>
      <c r="I1034" s="55" t="s">
        <v>169</v>
      </c>
      <c r="J1034" s="55" t="s">
        <v>1208</v>
      </c>
      <c r="K1034" s="140" t="s">
        <v>1219</v>
      </c>
      <c r="L1034" s="140" t="s">
        <v>380</v>
      </c>
    </row>
    <row r="1035" spans="7:12" x14ac:dyDescent="0.2">
      <c r="G1035" s="55" t="s">
        <v>1063</v>
      </c>
      <c r="H1035" s="55" t="s">
        <v>205</v>
      </c>
      <c r="I1035" s="55" t="s">
        <v>1220</v>
      </c>
      <c r="J1035" s="55" t="s">
        <v>1221</v>
      </c>
      <c r="K1035" s="140" t="s">
        <v>1222</v>
      </c>
      <c r="L1035" s="140" t="s">
        <v>380</v>
      </c>
    </row>
    <row r="1036" spans="7:12" x14ac:dyDescent="0.2">
      <c r="G1036" s="55" t="s">
        <v>1063</v>
      </c>
      <c r="H1036" s="55" t="s">
        <v>205</v>
      </c>
      <c r="I1036" s="55" t="s">
        <v>1220</v>
      </c>
      <c r="J1036" s="55" t="s">
        <v>1223</v>
      </c>
      <c r="K1036" s="140" t="s">
        <v>1222</v>
      </c>
      <c r="L1036" s="140" t="s">
        <v>400</v>
      </c>
    </row>
    <row r="1037" spans="7:12" x14ac:dyDescent="0.2">
      <c r="G1037" s="55" t="s">
        <v>1063</v>
      </c>
      <c r="H1037" s="55" t="s">
        <v>250</v>
      </c>
      <c r="I1037" s="55" t="s">
        <v>155</v>
      </c>
      <c r="J1037" s="55" t="s">
        <v>1224</v>
      </c>
      <c r="K1037" s="140" t="s">
        <v>1222</v>
      </c>
      <c r="L1037" s="140" t="s">
        <v>398</v>
      </c>
    </row>
    <row r="1038" spans="7:12" x14ac:dyDescent="0.2">
      <c r="G1038" s="55" t="s">
        <v>1063</v>
      </c>
      <c r="H1038" s="55" t="s">
        <v>358</v>
      </c>
      <c r="I1038" s="55" t="s">
        <v>155</v>
      </c>
      <c r="J1038" s="55" t="s">
        <v>1225</v>
      </c>
      <c r="K1038" s="140" t="s">
        <v>1222</v>
      </c>
      <c r="L1038" s="140" t="s">
        <v>380</v>
      </c>
    </row>
    <row r="1039" spans="7:12" x14ac:dyDescent="0.2">
      <c r="G1039" s="149" t="s">
        <v>1226</v>
      </c>
      <c r="H1039" s="149" t="s">
        <v>1117</v>
      </c>
      <c r="I1039" s="149" t="s">
        <v>1227</v>
      </c>
      <c r="J1039" s="149" t="s">
        <v>698</v>
      </c>
      <c r="K1039" s="231">
        <v>46000</v>
      </c>
      <c r="L1039" s="176"/>
    </row>
    <row r="1040" spans="7:12" x14ac:dyDescent="0.2">
      <c r="G1040" s="149" t="s">
        <v>1071</v>
      </c>
      <c r="H1040" s="149" t="s">
        <v>1119</v>
      </c>
      <c r="I1040" s="149" t="s">
        <v>1150</v>
      </c>
      <c r="J1040" s="149" t="s">
        <v>698</v>
      </c>
      <c r="K1040" s="231">
        <v>46001</v>
      </c>
      <c r="L1040" s="176"/>
    </row>
    <row r="1041" spans="7:12" x14ac:dyDescent="0.2">
      <c r="G1041" s="149" t="s">
        <v>1071</v>
      </c>
      <c r="H1041" s="149" t="s">
        <v>1119</v>
      </c>
      <c r="I1041" s="149" t="s">
        <v>1120</v>
      </c>
      <c r="J1041" s="149" t="s">
        <v>698</v>
      </c>
      <c r="K1041" s="231">
        <v>46001</v>
      </c>
      <c r="L1041" s="176"/>
    </row>
    <row r="1042" spans="7:12" x14ac:dyDescent="0.2">
      <c r="G1042" s="149" t="s">
        <v>1071</v>
      </c>
      <c r="H1042" s="149" t="s">
        <v>1119</v>
      </c>
      <c r="I1042" s="149" t="s">
        <v>1012</v>
      </c>
      <c r="J1042" s="149" t="s">
        <v>698</v>
      </c>
      <c r="K1042" s="231">
        <v>46002</v>
      </c>
      <c r="L1042" s="176"/>
    </row>
    <row r="1043" spans="7:12" x14ac:dyDescent="0.2">
      <c r="G1043" s="149" t="s">
        <v>1071</v>
      </c>
      <c r="H1043" s="149" t="s">
        <v>1119</v>
      </c>
      <c r="I1043" s="149" t="s">
        <v>1074</v>
      </c>
      <c r="J1043" s="149" t="s">
        <v>698</v>
      </c>
      <c r="K1043" s="231">
        <v>46002</v>
      </c>
      <c r="L1043" s="176"/>
    </row>
    <row r="1044" spans="7:12" x14ac:dyDescent="0.2">
      <c r="G1044" s="149" t="s">
        <v>1071</v>
      </c>
      <c r="H1044" s="149" t="s">
        <v>1119</v>
      </c>
      <c r="I1044" s="149" t="s">
        <v>167</v>
      </c>
      <c r="J1044" s="149" t="s">
        <v>698</v>
      </c>
      <c r="K1044" s="231">
        <v>46002</v>
      </c>
      <c r="L1044" s="176"/>
    </row>
    <row r="1045" spans="7:12" x14ac:dyDescent="0.2">
      <c r="G1045" s="149" t="s">
        <v>1071</v>
      </c>
      <c r="H1045" s="149" t="s">
        <v>1119</v>
      </c>
      <c r="I1045" s="149" t="s">
        <v>155</v>
      </c>
      <c r="J1045" s="149" t="s">
        <v>698</v>
      </c>
      <c r="K1045" s="231">
        <v>46003</v>
      </c>
      <c r="L1045" s="176"/>
    </row>
    <row r="1046" spans="7:12" x14ac:dyDescent="0.2">
      <c r="G1046" s="149" t="s">
        <v>1071</v>
      </c>
      <c r="H1046" s="149" t="s">
        <v>1119</v>
      </c>
      <c r="I1046" s="149" t="s">
        <v>961</v>
      </c>
      <c r="J1046" s="149" t="s">
        <v>698</v>
      </c>
      <c r="K1046" s="231">
        <v>46003</v>
      </c>
      <c r="L1046" s="176"/>
    </row>
    <row r="1047" spans="7:12" x14ac:dyDescent="0.2">
      <c r="G1047" s="61" t="s">
        <v>378</v>
      </c>
      <c r="H1047" s="61" t="s">
        <v>378</v>
      </c>
      <c r="I1047" s="61" t="s">
        <v>378</v>
      </c>
      <c r="J1047" s="61" t="s">
        <v>378</v>
      </c>
      <c r="K1047" s="216" t="s">
        <v>378</v>
      </c>
      <c r="L1047" s="61" t="s">
        <v>378</v>
      </c>
    </row>
    <row r="1048" spans="7:12" x14ac:dyDescent="0.2">
      <c r="G1048" s="55" t="s">
        <v>1063</v>
      </c>
      <c r="H1048" s="55" t="s">
        <v>358</v>
      </c>
      <c r="I1048" s="55" t="s">
        <v>155</v>
      </c>
      <c r="J1048" s="55" t="s">
        <v>1228</v>
      </c>
      <c r="K1048" s="140" t="s">
        <v>1229</v>
      </c>
      <c r="L1048" s="140" t="s">
        <v>398</v>
      </c>
    </row>
    <row r="1049" spans="7:12" x14ac:dyDescent="0.2">
      <c r="G1049" s="55" t="s">
        <v>1063</v>
      </c>
      <c r="H1049" s="55" t="s">
        <v>202</v>
      </c>
      <c r="I1049" s="55" t="s">
        <v>155</v>
      </c>
      <c r="J1049" s="55" t="s">
        <v>1230</v>
      </c>
      <c r="K1049" s="140" t="s">
        <v>1231</v>
      </c>
      <c r="L1049" s="140" t="s">
        <v>380</v>
      </c>
    </row>
    <row r="1050" spans="7:12" x14ac:dyDescent="0.2">
      <c r="G1050" s="55" t="s">
        <v>1063</v>
      </c>
      <c r="H1050" s="55" t="s">
        <v>358</v>
      </c>
      <c r="I1050" s="55" t="s">
        <v>885</v>
      </c>
      <c r="J1050" s="55" t="s">
        <v>1232</v>
      </c>
      <c r="K1050" s="140" t="s">
        <v>1231</v>
      </c>
      <c r="L1050" s="140" t="s">
        <v>398</v>
      </c>
    </row>
    <row r="1051" spans="7:12" x14ac:dyDescent="0.2">
      <c r="G1051" s="55" t="s">
        <v>981</v>
      </c>
      <c r="H1051" s="55" t="s">
        <v>205</v>
      </c>
      <c r="I1051" s="55" t="s">
        <v>1074</v>
      </c>
      <c r="J1051" s="55" t="s">
        <v>1233</v>
      </c>
      <c r="K1051" s="140" t="s">
        <v>1231</v>
      </c>
      <c r="L1051" s="140" t="s">
        <v>398</v>
      </c>
    </row>
    <row r="1052" spans="7:12" x14ac:dyDescent="0.2">
      <c r="G1052" s="55" t="s">
        <v>860</v>
      </c>
      <c r="H1052" s="55" t="s">
        <v>1234</v>
      </c>
      <c r="I1052" s="55" t="s">
        <v>169</v>
      </c>
      <c r="J1052" s="55" t="s">
        <v>1235</v>
      </c>
      <c r="K1052" s="140" t="s">
        <v>1236</v>
      </c>
      <c r="L1052" s="140" t="s">
        <v>398</v>
      </c>
    </row>
    <row r="1053" spans="7:12" x14ac:dyDescent="0.2">
      <c r="G1053" s="55" t="s">
        <v>860</v>
      </c>
      <c r="H1053" s="55" t="s">
        <v>767</v>
      </c>
      <c r="I1053" s="55" t="s">
        <v>157</v>
      </c>
      <c r="J1053" s="55" t="s">
        <v>1237</v>
      </c>
      <c r="K1053" s="140" t="s">
        <v>1238</v>
      </c>
      <c r="L1053" s="140" t="s">
        <v>360</v>
      </c>
    </row>
    <row r="1054" spans="7:12" x14ac:dyDescent="0.2">
      <c r="G1054" s="55" t="s">
        <v>860</v>
      </c>
      <c r="H1054" s="55" t="s">
        <v>358</v>
      </c>
      <c r="I1054" s="55" t="s">
        <v>1239</v>
      </c>
      <c r="J1054" s="55" t="s">
        <v>1240</v>
      </c>
      <c r="K1054" s="140" t="s">
        <v>1238</v>
      </c>
      <c r="L1054" s="140" t="s">
        <v>360</v>
      </c>
    </row>
    <row r="1055" spans="7:12" x14ac:dyDescent="0.2">
      <c r="G1055" s="55" t="s">
        <v>860</v>
      </c>
      <c r="H1055" s="55" t="s">
        <v>751</v>
      </c>
      <c r="I1055" s="55" t="s">
        <v>838</v>
      </c>
      <c r="J1055" s="55" t="s">
        <v>1241</v>
      </c>
      <c r="K1055" s="140" t="s">
        <v>1238</v>
      </c>
      <c r="L1055" s="140" t="s">
        <v>398</v>
      </c>
    </row>
    <row r="1056" spans="7:12" x14ac:dyDescent="0.2">
      <c r="G1056" s="55" t="s">
        <v>860</v>
      </c>
      <c r="H1056" s="55" t="s">
        <v>767</v>
      </c>
      <c r="I1056" s="55" t="s">
        <v>157</v>
      </c>
      <c r="J1056" s="55" t="s">
        <v>1237</v>
      </c>
      <c r="K1056" s="140" t="s">
        <v>1238</v>
      </c>
      <c r="L1056" s="140" t="s">
        <v>380</v>
      </c>
    </row>
    <row r="1057" spans="7:12" x14ac:dyDescent="0.2">
      <c r="G1057" s="55" t="s">
        <v>860</v>
      </c>
      <c r="H1057" s="55" t="s">
        <v>192</v>
      </c>
      <c r="I1057" s="55" t="s">
        <v>643</v>
      </c>
      <c r="J1057" s="55" t="s">
        <v>1242</v>
      </c>
      <c r="K1057" s="140" t="s">
        <v>1243</v>
      </c>
      <c r="L1057" s="140" t="s">
        <v>360</v>
      </c>
    </row>
    <row r="1058" spans="7:12" x14ac:dyDescent="0.2">
      <c r="G1058" s="55" t="s">
        <v>860</v>
      </c>
      <c r="H1058" s="55" t="s">
        <v>192</v>
      </c>
      <c r="I1058" s="55" t="s">
        <v>157</v>
      </c>
      <c r="J1058" s="55" t="s">
        <v>1146</v>
      </c>
      <c r="K1058" s="140" t="s">
        <v>1243</v>
      </c>
      <c r="L1058" s="140" t="s">
        <v>380</v>
      </c>
    </row>
    <row r="1059" spans="7:12" x14ac:dyDescent="0.2">
      <c r="G1059" s="149" t="s">
        <v>1244</v>
      </c>
      <c r="H1059" s="149" t="s">
        <v>1149</v>
      </c>
      <c r="I1059" s="149" t="s">
        <v>1245</v>
      </c>
      <c r="J1059" s="149" t="s">
        <v>698</v>
      </c>
      <c r="K1059" s="231">
        <v>46007</v>
      </c>
      <c r="L1059" s="176"/>
    </row>
    <row r="1060" spans="7:12" x14ac:dyDescent="0.2">
      <c r="G1060" s="149" t="s">
        <v>1071</v>
      </c>
      <c r="H1060" s="149" t="s">
        <v>1117</v>
      </c>
      <c r="I1060" s="149" t="s">
        <v>1120</v>
      </c>
      <c r="J1060" s="149" t="s">
        <v>698</v>
      </c>
      <c r="K1060" s="231">
        <v>46007</v>
      </c>
      <c r="L1060" s="176"/>
    </row>
    <row r="1061" spans="7:12" x14ac:dyDescent="0.2">
      <c r="G1061" s="149" t="s">
        <v>1071</v>
      </c>
      <c r="H1061" s="149" t="s">
        <v>1246</v>
      </c>
      <c r="I1061" s="149" t="s">
        <v>961</v>
      </c>
      <c r="J1061" s="149" t="s">
        <v>698</v>
      </c>
      <c r="K1061" s="231">
        <v>45825</v>
      </c>
      <c r="L1061" s="176"/>
    </row>
    <row r="1062" spans="7:12" x14ac:dyDescent="0.2">
      <c r="G1062" s="149" t="s">
        <v>1071</v>
      </c>
      <c r="H1062" s="149" t="s">
        <v>1151</v>
      </c>
      <c r="I1062" s="149" t="s">
        <v>885</v>
      </c>
      <c r="J1062" s="149" t="s">
        <v>698</v>
      </c>
      <c r="K1062" s="231">
        <v>46008</v>
      </c>
      <c r="L1062" s="176"/>
    </row>
    <row r="1063" spans="7:12" x14ac:dyDescent="0.2">
      <c r="G1063" s="149" t="s">
        <v>1247</v>
      </c>
      <c r="H1063" s="149" t="s">
        <v>1149</v>
      </c>
      <c r="I1063" s="149" t="s">
        <v>1248</v>
      </c>
      <c r="J1063" s="149" t="s">
        <v>698</v>
      </c>
      <c r="K1063" s="231">
        <v>46008</v>
      </c>
      <c r="L1063" s="176"/>
    </row>
    <row r="1064" spans="7:12" x14ac:dyDescent="0.2">
      <c r="G1064" s="149" t="s">
        <v>1071</v>
      </c>
      <c r="H1064" s="149" t="s">
        <v>1119</v>
      </c>
      <c r="I1064" s="149" t="s">
        <v>157</v>
      </c>
      <c r="J1064" s="149" t="s">
        <v>698</v>
      </c>
      <c r="K1064" s="231">
        <v>46009</v>
      </c>
      <c r="L1064" s="176"/>
    </row>
    <row r="1065" spans="7:12" x14ac:dyDescent="0.2">
      <c r="G1065" s="149" t="s">
        <v>1071</v>
      </c>
      <c r="H1065" s="149" t="s">
        <v>1246</v>
      </c>
      <c r="I1065" s="149" t="s">
        <v>1182</v>
      </c>
      <c r="J1065" s="149" t="s">
        <v>698</v>
      </c>
      <c r="K1065" s="231">
        <v>46009</v>
      </c>
      <c r="L1065" s="176"/>
    </row>
    <row r="1066" spans="7:12" x14ac:dyDescent="0.2">
      <c r="G1066" s="61" t="s">
        <v>392</v>
      </c>
      <c r="H1066" s="61" t="s">
        <v>392</v>
      </c>
      <c r="I1066" s="61" t="s">
        <v>392</v>
      </c>
      <c r="J1066" s="61" t="s">
        <v>392</v>
      </c>
      <c r="K1066" s="216" t="s">
        <v>392</v>
      </c>
      <c r="L1066" s="61" t="s">
        <v>392</v>
      </c>
    </row>
    <row r="1067" spans="7:12" x14ac:dyDescent="0.2">
      <c r="G1067" s="55" t="s">
        <v>860</v>
      </c>
      <c r="H1067" s="55" t="s">
        <v>767</v>
      </c>
      <c r="I1067" s="55" t="s">
        <v>157</v>
      </c>
      <c r="J1067" s="55" t="s">
        <v>1237</v>
      </c>
      <c r="K1067" s="140" t="s">
        <v>1249</v>
      </c>
      <c r="L1067" s="140" t="s">
        <v>380</v>
      </c>
    </row>
    <row r="1068" spans="7:12" x14ac:dyDescent="0.2">
      <c r="G1068" s="55" t="s">
        <v>1250</v>
      </c>
      <c r="H1068" s="55" t="s">
        <v>358</v>
      </c>
      <c r="I1068" s="55" t="s">
        <v>847</v>
      </c>
      <c r="J1068" s="55" t="s">
        <v>1251</v>
      </c>
      <c r="K1068" s="140" t="s">
        <v>1249</v>
      </c>
      <c r="L1068" s="140" t="s">
        <v>364</v>
      </c>
    </row>
    <row r="1069" spans="7:12" x14ac:dyDescent="0.2">
      <c r="G1069" s="55" t="s">
        <v>1063</v>
      </c>
      <c r="H1069" s="55" t="s">
        <v>250</v>
      </c>
      <c r="I1069" s="55" t="s">
        <v>1009</v>
      </c>
      <c r="J1069" s="55" t="s">
        <v>1252</v>
      </c>
      <c r="K1069" s="56">
        <v>46014</v>
      </c>
      <c r="L1069" s="140" t="s">
        <v>364</v>
      </c>
    </row>
    <row r="1070" spans="7:12" x14ac:dyDescent="0.2">
      <c r="G1070" s="55" t="s">
        <v>981</v>
      </c>
      <c r="H1070" s="55" t="s">
        <v>205</v>
      </c>
      <c r="I1070" s="55" t="s">
        <v>1036</v>
      </c>
      <c r="J1070" s="55" t="s">
        <v>1253</v>
      </c>
      <c r="K1070" s="56">
        <v>46014</v>
      </c>
      <c r="L1070" s="140" t="s">
        <v>364</v>
      </c>
    </row>
    <row r="1071" spans="7:12" x14ac:dyDescent="0.2">
      <c r="G1071" s="55" t="s">
        <v>1063</v>
      </c>
      <c r="H1071" s="55" t="s">
        <v>205</v>
      </c>
      <c r="I1071" s="55" t="s">
        <v>885</v>
      </c>
      <c r="J1071" s="55" t="s">
        <v>1254</v>
      </c>
      <c r="K1071" s="56">
        <v>46014</v>
      </c>
      <c r="L1071" s="140" t="s">
        <v>380</v>
      </c>
    </row>
    <row r="1072" spans="7:12" x14ac:dyDescent="0.2">
      <c r="G1072" s="55" t="s">
        <v>31</v>
      </c>
      <c r="H1072" s="55" t="s">
        <v>213</v>
      </c>
      <c r="I1072" s="55" t="s">
        <v>1211</v>
      </c>
      <c r="J1072" s="55" t="s">
        <v>1144</v>
      </c>
      <c r="K1072" s="56">
        <v>46014</v>
      </c>
      <c r="L1072" s="140" t="s">
        <v>380</v>
      </c>
    </row>
    <row r="1073" spans="7:12" x14ac:dyDescent="0.2">
      <c r="G1073" s="55" t="s">
        <v>981</v>
      </c>
      <c r="H1073" s="55" t="s">
        <v>390</v>
      </c>
      <c r="I1073" s="55" t="s">
        <v>1036</v>
      </c>
      <c r="J1073" s="55" t="s">
        <v>1255</v>
      </c>
      <c r="K1073" s="56">
        <v>46014</v>
      </c>
      <c r="L1073" s="140" t="s">
        <v>364</v>
      </c>
    </row>
    <row r="1074" spans="7:12" x14ac:dyDescent="0.2">
      <c r="G1074" s="149" t="s">
        <v>1244</v>
      </c>
      <c r="H1074" s="149" t="s">
        <v>1117</v>
      </c>
      <c r="I1074" s="149" t="s">
        <v>1248</v>
      </c>
      <c r="J1074" s="149" t="s">
        <v>698</v>
      </c>
      <c r="K1074" s="231">
        <v>46014</v>
      </c>
      <c r="L1074" s="176"/>
    </row>
    <row r="1075" spans="7:12" x14ac:dyDescent="0.2">
      <c r="G1075" s="149" t="s">
        <v>1071</v>
      </c>
      <c r="H1075" s="149" t="s">
        <v>1119</v>
      </c>
      <c r="I1075" s="149" t="s">
        <v>1211</v>
      </c>
      <c r="J1075" s="149" t="s">
        <v>698</v>
      </c>
      <c r="K1075" s="231">
        <v>46014</v>
      </c>
      <c r="L1075" s="176"/>
    </row>
    <row r="1076" spans="7:12" x14ac:dyDescent="0.2">
      <c r="G1076" s="149" t="s">
        <v>1071</v>
      </c>
      <c r="H1076" s="149" t="s">
        <v>1119</v>
      </c>
      <c r="I1076" s="176" t="s">
        <v>961</v>
      </c>
      <c r="J1076" s="149" t="s">
        <v>698</v>
      </c>
      <c r="K1076" s="231">
        <v>46014</v>
      </c>
      <c r="L1076" s="176"/>
    </row>
    <row r="1077" spans="7:12" x14ac:dyDescent="0.2">
      <c r="G1077" s="149" t="s">
        <v>1071</v>
      </c>
      <c r="H1077" s="149" t="s">
        <v>1119</v>
      </c>
      <c r="I1077" s="176" t="s">
        <v>885</v>
      </c>
      <c r="J1077" s="149" t="s">
        <v>698</v>
      </c>
      <c r="K1077" s="231">
        <v>46014</v>
      </c>
      <c r="L1077" s="176"/>
    </row>
    <row r="1078" spans="7:12" x14ac:dyDescent="0.2">
      <c r="G1078" s="149" t="s">
        <v>1071</v>
      </c>
      <c r="H1078" s="149" t="s">
        <v>1119</v>
      </c>
      <c r="I1078" s="176" t="s">
        <v>1012</v>
      </c>
      <c r="J1078" s="149" t="s">
        <v>698</v>
      </c>
      <c r="K1078" s="231">
        <v>46015</v>
      </c>
      <c r="L1078" s="176"/>
    </row>
    <row r="1079" spans="7:12" x14ac:dyDescent="0.2">
      <c r="G1079" s="61" t="s">
        <v>1256</v>
      </c>
      <c r="H1079" s="61" t="s">
        <v>1256</v>
      </c>
      <c r="I1079" s="61" t="s">
        <v>1256</v>
      </c>
      <c r="J1079" s="61" t="s">
        <v>1256</v>
      </c>
      <c r="K1079" s="216" t="s">
        <v>1256</v>
      </c>
      <c r="L1079" s="61" t="s">
        <v>1256</v>
      </c>
    </row>
    <row r="1080" spans="7:12" x14ac:dyDescent="0.2">
      <c r="G1080" s="55" t="s">
        <v>1063</v>
      </c>
      <c r="H1080" s="55" t="s">
        <v>213</v>
      </c>
      <c r="I1080" s="55" t="s">
        <v>885</v>
      </c>
      <c r="J1080" s="55" t="s">
        <v>1257</v>
      </c>
      <c r="K1080" s="56">
        <v>46020</v>
      </c>
      <c r="L1080" s="140" t="s">
        <v>442</v>
      </c>
    </row>
    <row r="1081" spans="7:12" x14ac:dyDescent="0.2">
      <c r="G1081" s="55" t="s">
        <v>1063</v>
      </c>
      <c r="H1081" s="55" t="s">
        <v>358</v>
      </c>
      <c r="I1081" s="55" t="s">
        <v>885</v>
      </c>
      <c r="J1081" s="55" t="s">
        <v>1258</v>
      </c>
      <c r="K1081" s="56">
        <v>46021</v>
      </c>
      <c r="L1081" s="140" t="s">
        <v>442</v>
      </c>
    </row>
    <row r="1082" spans="7:12" x14ac:dyDescent="0.2">
      <c r="G1082" s="55" t="s">
        <v>31</v>
      </c>
      <c r="H1082" s="55" t="s">
        <v>767</v>
      </c>
      <c r="I1082" s="55" t="s">
        <v>1259</v>
      </c>
      <c r="J1082" s="55" t="s">
        <v>1260</v>
      </c>
      <c r="K1082" s="56">
        <v>46021</v>
      </c>
      <c r="L1082" s="140" t="s">
        <v>398</v>
      </c>
    </row>
    <row r="1083" spans="7:12" x14ac:dyDescent="0.2">
      <c r="G1083" s="343"/>
      <c r="H1083" s="343"/>
      <c r="I1083" s="343"/>
      <c r="J1083" s="343"/>
      <c r="K1083" s="344"/>
      <c r="L1083" s="345"/>
    </row>
    <row r="1084" spans="7:12" x14ac:dyDescent="0.2">
      <c r="G1084" s="149" t="s">
        <v>1071</v>
      </c>
      <c r="H1084" s="149" t="s">
        <v>1246</v>
      </c>
      <c r="I1084" s="149" t="s">
        <v>1100</v>
      </c>
      <c r="J1084" s="149" t="s">
        <v>698</v>
      </c>
      <c r="K1084" s="218">
        <v>46021</v>
      </c>
      <c r="L1084" s="176"/>
    </row>
    <row r="1085" spans="7:12" x14ac:dyDescent="0.2">
      <c r="G1085" s="185" t="s">
        <v>1261</v>
      </c>
      <c r="H1085" s="149" t="s">
        <v>1149</v>
      </c>
      <c r="I1085" s="149" t="s">
        <v>1262</v>
      </c>
      <c r="J1085" s="185" t="s">
        <v>698</v>
      </c>
      <c r="K1085" s="218">
        <v>46021</v>
      </c>
      <c r="L1085" s="176"/>
    </row>
    <row r="1086" spans="7:12" x14ac:dyDescent="0.2">
      <c r="G1086" s="185" t="s">
        <v>1148</v>
      </c>
      <c r="H1086" s="185" t="s">
        <v>1178</v>
      </c>
      <c r="I1086" s="149" t="s">
        <v>1074</v>
      </c>
      <c r="J1086" s="185" t="s">
        <v>698</v>
      </c>
      <c r="K1086" s="218">
        <v>46021</v>
      </c>
      <c r="L1086" s="176"/>
    </row>
    <row r="1087" spans="7:12" x14ac:dyDescent="0.2">
      <c r="G1087" s="185" t="s">
        <v>1148</v>
      </c>
      <c r="H1087" s="185" t="s">
        <v>1178</v>
      </c>
      <c r="I1087" s="185" t="s">
        <v>167</v>
      </c>
      <c r="J1087" s="185" t="s">
        <v>698</v>
      </c>
      <c r="K1087" s="218">
        <v>46021</v>
      </c>
      <c r="L1087" s="187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32F95-D961-4F4A-A431-01F72B4DB0BE}">
  <dimension ref="A1:K767"/>
  <sheetViews>
    <sheetView tabSelected="1" topLeftCell="A711" zoomScaleNormal="100" workbookViewId="0">
      <selection activeCell="F733" sqref="F733"/>
    </sheetView>
  </sheetViews>
  <sheetFormatPr baseColWidth="10" defaultColWidth="11.5" defaultRowHeight="15" x14ac:dyDescent="0.2"/>
  <cols>
    <col min="1" max="2" width="31.5" customWidth="1"/>
    <col min="3" max="3" width="31.6640625" customWidth="1"/>
    <col min="4" max="4" width="45.83203125" customWidth="1"/>
    <col min="5" max="5" width="36.5" customWidth="1"/>
    <col min="6" max="6" width="31.33203125" customWidth="1"/>
  </cols>
  <sheetData>
    <row r="1" spans="1:11" ht="19" x14ac:dyDescent="0.25">
      <c r="A1" s="60" t="s">
        <v>187</v>
      </c>
      <c r="B1" s="60" t="s">
        <v>188</v>
      </c>
      <c r="C1" s="60" t="s">
        <v>189</v>
      </c>
      <c r="D1" s="60" t="s">
        <v>190</v>
      </c>
      <c r="E1" s="330" t="s">
        <v>3</v>
      </c>
      <c r="F1" s="137" t="s">
        <v>191</v>
      </c>
      <c r="G1" s="63"/>
      <c r="H1" s="63"/>
      <c r="I1" s="63"/>
      <c r="J1" s="63"/>
      <c r="K1" s="65"/>
    </row>
    <row r="2" spans="1:11" x14ac:dyDescent="0.2">
      <c r="A2" s="346" t="s">
        <v>423</v>
      </c>
      <c r="B2" s="346" t="s">
        <v>423</v>
      </c>
      <c r="C2" s="346" t="s">
        <v>423</v>
      </c>
      <c r="D2" s="346" t="s">
        <v>423</v>
      </c>
      <c r="E2" s="346" t="s">
        <v>423</v>
      </c>
      <c r="F2" s="346" t="s">
        <v>423</v>
      </c>
    </row>
    <row r="3" spans="1:11" x14ac:dyDescent="0.2">
      <c r="A3" s="347" t="s">
        <v>1263</v>
      </c>
      <c r="B3" s="347" t="s">
        <v>1264</v>
      </c>
      <c r="C3" s="347" t="s">
        <v>1265</v>
      </c>
      <c r="D3" s="347" t="s">
        <v>698</v>
      </c>
      <c r="E3" s="348">
        <v>46024</v>
      </c>
      <c r="F3" s="347"/>
    </row>
    <row r="4" spans="1:11" x14ac:dyDescent="0.2">
      <c r="A4" s="346" t="s">
        <v>449</v>
      </c>
      <c r="B4" s="346" t="s">
        <v>449</v>
      </c>
      <c r="C4" s="346" t="s">
        <v>449</v>
      </c>
      <c r="D4" s="346" t="s">
        <v>449</v>
      </c>
      <c r="E4" s="346" t="s">
        <v>449</v>
      </c>
      <c r="F4" s="346" t="s">
        <v>449</v>
      </c>
    </row>
    <row r="5" spans="1:11" x14ac:dyDescent="0.2">
      <c r="A5" s="157" t="s">
        <v>31</v>
      </c>
      <c r="B5" s="157" t="s">
        <v>205</v>
      </c>
      <c r="C5" s="157" t="s">
        <v>55</v>
      </c>
      <c r="D5" s="157" t="s">
        <v>1266</v>
      </c>
      <c r="E5" s="116">
        <v>46027</v>
      </c>
      <c r="F5" s="157">
        <v>4</v>
      </c>
    </row>
    <row r="6" spans="1:11" x14ac:dyDescent="0.2">
      <c r="A6" s="157" t="s">
        <v>981</v>
      </c>
      <c r="B6" s="157" t="s">
        <v>230</v>
      </c>
      <c r="C6" s="157" t="s">
        <v>1267</v>
      </c>
      <c r="D6" s="157" t="s">
        <v>1268</v>
      </c>
      <c r="E6" s="116">
        <v>46143</v>
      </c>
      <c r="F6" s="157" t="s">
        <v>360</v>
      </c>
    </row>
    <row r="7" spans="1:11" x14ac:dyDescent="0.2">
      <c r="A7" s="157" t="s">
        <v>981</v>
      </c>
      <c r="B7" s="157" t="s">
        <v>230</v>
      </c>
      <c r="C7" s="157" t="s">
        <v>961</v>
      </c>
      <c r="D7" s="157" t="s">
        <v>1269</v>
      </c>
      <c r="E7" s="116">
        <v>46143</v>
      </c>
      <c r="F7" s="157" t="s">
        <v>360</v>
      </c>
    </row>
    <row r="8" spans="1:11" x14ac:dyDescent="0.2">
      <c r="A8" s="157" t="s">
        <v>1063</v>
      </c>
      <c r="B8" s="157" t="s">
        <v>250</v>
      </c>
      <c r="C8" s="157" t="s">
        <v>885</v>
      </c>
      <c r="D8" s="157" t="s">
        <v>1270</v>
      </c>
      <c r="E8" s="116">
        <v>46143</v>
      </c>
      <c r="F8" s="157">
        <v>4</v>
      </c>
    </row>
    <row r="9" spans="1:11" x14ac:dyDescent="0.2">
      <c r="A9" s="157" t="s">
        <v>31</v>
      </c>
      <c r="B9" s="157" t="s">
        <v>205</v>
      </c>
      <c r="C9" s="157" t="s">
        <v>56</v>
      </c>
      <c r="D9" s="157" t="s">
        <v>1271</v>
      </c>
      <c r="E9" s="116">
        <v>46174</v>
      </c>
      <c r="F9" s="157">
        <v>4</v>
      </c>
    </row>
    <row r="10" spans="1:11" x14ac:dyDescent="0.2">
      <c r="A10" s="157" t="s">
        <v>31</v>
      </c>
      <c r="B10" s="157" t="s">
        <v>205</v>
      </c>
      <c r="C10" s="157" t="s">
        <v>1012</v>
      </c>
      <c r="D10" s="157" t="s">
        <v>1272</v>
      </c>
      <c r="E10" s="116">
        <v>46174</v>
      </c>
      <c r="F10" s="157">
        <v>4</v>
      </c>
    </row>
    <row r="11" spans="1:11" x14ac:dyDescent="0.2">
      <c r="A11" s="157" t="s">
        <v>981</v>
      </c>
      <c r="B11" s="157" t="s">
        <v>230</v>
      </c>
      <c r="C11" s="157" t="s">
        <v>961</v>
      </c>
      <c r="D11" s="157" t="s">
        <v>1273</v>
      </c>
      <c r="E11" s="116">
        <v>46174</v>
      </c>
      <c r="F11" s="157">
        <v>4</v>
      </c>
    </row>
    <row r="12" spans="1:11" x14ac:dyDescent="0.2">
      <c r="A12" s="157" t="s">
        <v>31</v>
      </c>
      <c r="B12" s="157" t="s">
        <v>202</v>
      </c>
      <c r="C12" s="157" t="s">
        <v>1211</v>
      </c>
      <c r="D12" s="157" t="s">
        <v>1274</v>
      </c>
      <c r="E12" s="116">
        <v>46028</v>
      </c>
      <c r="F12" s="157">
        <v>4</v>
      </c>
    </row>
    <row r="13" spans="1:11" x14ac:dyDescent="0.2">
      <c r="A13" s="157" t="s">
        <v>31</v>
      </c>
      <c r="B13" s="157" t="s">
        <v>205</v>
      </c>
      <c r="C13" s="157" t="s">
        <v>830</v>
      </c>
      <c r="D13" s="157" t="s">
        <v>1275</v>
      </c>
      <c r="E13" s="116">
        <v>46204</v>
      </c>
      <c r="F13" s="157">
        <v>1</v>
      </c>
    </row>
    <row r="14" spans="1:11" x14ac:dyDescent="0.2">
      <c r="A14" s="157" t="s">
        <v>31</v>
      </c>
      <c r="B14" s="157" t="s">
        <v>213</v>
      </c>
      <c r="C14" s="157" t="s">
        <v>1211</v>
      </c>
      <c r="D14" s="157" t="s">
        <v>1276</v>
      </c>
      <c r="E14" s="116">
        <v>46030</v>
      </c>
      <c r="F14" s="157">
        <v>4</v>
      </c>
    </row>
    <row r="15" spans="1:11" x14ac:dyDescent="0.2">
      <c r="A15" s="157" t="s">
        <v>31</v>
      </c>
      <c r="B15" s="157" t="s">
        <v>202</v>
      </c>
      <c r="C15" s="157" t="s">
        <v>1259</v>
      </c>
      <c r="D15" s="157" t="s">
        <v>402</v>
      </c>
      <c r="E15" s="116">
        <v>46235</v>
      </c>
      <c r="F15" s="157">
        <v>3</v>
      </c>
    </row>
    <row r="16" spans="1:11" x14ac:dyDescent="0.2">
      <c r="A16" s="157" t="s">
        <v>860</v>
      </c>
      <c r="B16" s="157" t="s">
        <v>273</v>
      </c>
      <c r="C16" s="157" t="s">
        <v>643</v>
      </c>
      <c r="D16" s="157" t="s">
        <v>1277</v>
      </c>
      <c r="E16" s="116">
        <v>46235</v>
      </c>
      <c r="F16" s="157">
        <v>3</v>
      </c>
    </row>
    <row r="17" spans="1:6" x14ac:dyDescent="0.2">
      <c r="A17" s="157" t="s">
        <v>981</v>
      </c>
      <c r="B17" s="157" t="s">
        <v>341</v>
      </c>
      <c r="C17" s="157" t="s">
        <v>961</v>
      </c>
      <c r="D17" s="157" t="s">
        <v>1278</v>
      </c>
      <c r="E17" s="116">
        <v>46266</v>
      </c>
      <c r="F17" s="157">
        <v>4</v>
      </c>
    </row>
    <row r="18" spans="1:6" x14ac:dyDescent="0.2">
      <c r="A18" s="347" t="s">
        <v>1071</v>
      </c>
      <c r="B18" s="347" t="s">
        <v>1119</v>
      </c>
      <c r="C18" s="347" t="s">
        <v>1279</v>
      </c>
      <c r="D18" s="347" t="s">
        <v>698</v>
      </c>
      <c r="E18" s="348">
        <v>46030</v>
      </c>
      <c r="F18" s="347"/>
    </row>
    <row r="19" spans="1:6" x14ac:dyDescent="0.2">
      <c r="A19" s="347" t="s">
        <v>1071</v>
      </c>
      <c r="B19" s="347" t="s">
        <v>1119</v>
      </c>
      <c r="C19" s="347" t="s">
        <v>1120</v>
      </c>
      <c r="D19" s="347" t="s">
        <v>698</v>
      </c>
      <c r="E19" s="348">
        <v>46030</v>
      </c>
      <c r="F19" s="347"/>
    </row>
    <row r="20" spans="1:6" x14ac:dyDescent="0.2">
      <c r="A20" s="347" t="s">
        <v>1280</v>
      </c>
      <c r="B20" s="347" t="s">
        <v>1281</v>
      </c>
      <c r="C20" s="347" t="s">
        <v>885</v>
      </c>
      <c r="D20" s="347" t="s">
        <v>698</v>
      </c>
      <c r="E20" s="348">
        <v>46030</v>
      </c>
      <c r="F20" s="347"/>
    </row>
    <row r="21" spans="1:6" x14ac:dyDescent="0.2">
      <c r="A21" s="347" t="s">
        <v>1071</v>
      </c>
      <c r="B21" s="347" t="s">
        <v>1119</v>
      </c>
      <c r="C21" s="347" t="s">
        <v>1150</v>
      </c>
      <c r="D21" s="347" t="s">
        <v>698</v>
      </c>
      <c r="E21" s="348">
        <v>46030</v>
      </c>
      <c r="F21" s="347"/>
    </row>
    <row r="22" spans="1:6" x14ac:dyDescent="0.2">
      <c r="A22" s="347" t="s">
        <v>1071</v>
      </c>
      <c r="B22" s="347" t="s">
        <v>1119</v>
      </c>
      <c r="C22" s="347" t="s">
        <v>961</v>
      </c>
      <c r="D22" s="347" t="s">
        <v>698</v>
      </c>
      <c r="E22" s="348">
        <v>46030</v>
      </c>
      <c r="F22" s="347"/>
    </row>
    <row r="23" spans="1:6" x14ac:dyDescent="0.2">
      <c r="A23" s="347" t="s">
        <v>1071</v>
      </c>
      <c r="B23" s="347" t="s">
        <v>1119</v>
      </c>
      <c r="C23" s="347" t="s">
        <v>1282</v>
      </c>
      <c r="D23" s="347" t="s">
        <v>698</v>
      </c>
      <c r="E23" s="348">
        <v>46029</v>
      </c>
      <c r="F23" s="347"/>
    </row>
    <row r="24" spans="1:6" x14ac:dyDescent="0.2">
      <c r="A24" s="347" t="s">
        <v>1283</v>
      </c>
      <c r="B24" s="347" t="s">
        <v>1284</v>
      </c>
      <c r="C24" s="347" t="s">
        <v>1285</v>
      </c>
      <c r="D24" s="347" t="s">
        <v>698</v>
      </c>
      <c r="E24" s="348">
        <v>46028</v>
      </c>
      <c r="F24" s="347"/>
    </row>
    <row r="25" spans="1:6" x14ac:dyDescent="0.2">
      <c r="A25" s="347" t="s">
        <v>1286</v>
      </c>
      <c r="B25" s="347" t="s">
        <v>1281</v>
      </c>
      <c r="C25" s="347" t="s">
        <v>1287</v>
      </c>
      <c r="D25" s="347" t="s">
        <v>698</v>
      </c>
      <c r="E25" s="348">
        <v>46027</v>
      </c>
      <c r="F25" s="347"/>
    </row>
    <row r="26" spans="1:6" x14ac:dyDescent="0.2">
      <c r="A26" s="347" t="s">
        <v>1261</v>
      </c>
      <c r="B26" s="347" t="s">
        <v>1281</v>
      </c>
      <c r="C26" s="347" t="s">
        <v>1262</v>
      </c>
      <c r="D26" s="347" t="s">
        <v>698</v>
      </c>
      <c r="E26" s="348">
        <v>46027</v>
      </c>
      <c r="F26" s="347"/>
    </row>
    <row r="27" spans="1:6" x14ac:dyDescent="0.2">
      <c r="A27" s="346" t="s">
        <v>463</v>
      </c>
      <c r="B27" s="346" t="s">
        <v>463</v>
      </c>
      <c r="C27" s="346" t="s">
        <v>463</v>
      </c>
      <c r="D27" s="346" t="s">
        <v>463</v>
      </c>
      <c r="E27" s="346" t="s">
        <v>463</v>
      </c>
      <c r="F27" s="346" t="s">
        <v>463</v>
      </c>
    </row>
    <row r="28" spans="1:6" x14ac:dyDescent="0.2">
      <c r="A28" s="157" t="s">
        <v>1096</v>
      </c>
      <c r="B28" s="157" t="s">
        <v>205</v>
      </c>
      <c r="C28" s="157" t="s">
        <v>1120</v>
      </c>
      <c r="D28" s="157" t="s">
        <v>1288</v>
      </c>
      <c r="E28" s="116">
        <v>46357</v>
      </c>
      <c r="F28" s="157" t="s">
        <v>360</v>
      </c>
    </row>
    <row r="29" spans="1:6" x14ac:dyDescent="0.2">
      <c r="A29" s="157" t="s">
        <v>1096</v>
      </c>
      <c r="B29" s="157" t="s">
        <v>230</v>
      </c>
      <c r="C29" s="157" t="s">
        <v>1262</v>
      </c>
      <c r="D29" s="157" t="s">
        <v>1289</v>
      </c>
      <c r="E29" s="116">
        <v>46357</v>
      </c>
      <c r="F29" s="157">
        <v>3</v>
      </c>
    </row>
    <row r="30" spans="1:6" x14ac:dyDescent="0.2">
      <c r="A30" s="157" t="s">
        <v>860</v>
      </c>
      <c r="B30" s="157" t="s">
        <v>213</v>
      </c>
      <c r="C30" s="157" t="s">
        <v>56</v>
      </c>
      <c r="D30" s="157" t="s">
        <v>1290</v>
      </c>
      <c r="E30" s="116" t="s">
        <v>1291</v>
      </c>
      <c r="F30" s="157">
        <v>3</v>
      </c>
    </row>
    <row r="31" spans="1:6" x14ac:dyDescent="0.2">
      <c r="A31" s="157" t="s">
        <v>860</v>
      </c>
      <c r="B31" s="157" t="s">
        <v>1292</v>
      </c>
      <c r="C31" s="157" t="s">
        <v>157</v>
      </c>
      <c r="D31" s="157" t="s">
        <v>1293</v>
      </c>
      <c r="E31" s="116" t="s">
        <v>1291</v>
      </c>
      <c r="F31" s="157" t="s">
        <v>360</v>
      </c>
    </row>
    <row r="32" spans="1:6" x14ac:dyDescent="0.2">
      <c r="A32" s="157" t="s">
        <v>1096</v>
      </c>
      <c r="B32" s="157" t="s">
        <v>205</v>
      </c>
      <c r="C32" s="157" t="s">
        <v>1012</v>
      </c>
      <c r="D32" s="157" t="s">
        <v>1294</v>
      </c>
      <c r="E32" s="157" t="s">
        <v>1291</v>
      </c>
      <c r="F32" s="157" t="s">
        <v>360</v>
      </c>
    </row>
    <row r="33" spans="1:6" x14ac:dyDescent="0.2">
      <c r="A33" s="157" t="s">
        <v>1096</v>
      </c>
      <c r="B33" s="157" t="s">
        <v>213</v>
      </c>
      <c r="C33" s="157" t="s">
        <v>1259</v>
      </c>
      <c r="D33" s="157" t="s">
        <v>921</v>
      </c>
      <c r="E33" s="157" t="s">
        <v>1291</v>
      </c>
      <c r="F33" s="157">
        <v>3</v>
      </c>
    </row>
    <row r="34" spans="1:6" x14ac:dyDescent="0.2">
      <c r="A34" s="157" t="s">
        <v>1063</v>
      </c>
      <c r="B34" s="157" t="s">
        <v>250</v>
      </c>
      <c r="C34" s="157" t="s">
        <v>885</v>
      </c>
      <c r="D34" s="157" t="s">
        <v>1295</v>
      </c>
      <c r="E34" s="157" t="s">
        <v>1291</v>
      </c>
      <c r="F34" s="157">
        <v>4</v>
      </c>
    </row>
    <row r="35" spans="1:6" x14ac:dyDescent="0.2">
      <c r="A35" s="157" t="s">
        <v>1063</v>
      </c>
      <c r="B35" s="157" t="s">
        <v>358</v>
      </c>
      <c r="C35" s="157" t="s">
        <v>155</v>
      </c>
      <c r="D35" s="157" t="s">
        <v>1296</v>
      </c>
      <c r="E35" s="157" t="s">
        <v>1291</v>
      </c>
      <c r="F35" s="157" t="s">
        <v>360</v>
      </c>
    </row>
    <row r="36" spans="1:6" x14ac:dyDescent="0.2">
      <c r="A36" s="157" t="s">
        <v>860</v>
      </c>
      <c r="B36" s="157" t="s">
        <v>192</v>
      </c>
      <c r="C36" s="157" t="s">
        <v>1248</v>
      </c>
      <c r="D36" s="157" t="s">
        <v>1297</v>
      </c>
      <c r="E36" s="116" t="s">
        <v>1298</v>
      </c>
      <c r="F36" s="157" t="s">
        <v>360</v>
      </c>
    </row>
    <row r="37" spans="1:6" x14ac:dyDescent="0.2">
      <c r="A37" s="157" t="s">
        <v>860</v>
      </c>
      <c r="B37" s="157" t="s">
        <v>192</v>
      </c>
      <c r="C37" s="157" t="s">
        <v>1248</v>
      </c>
      <c r="D37" s="157" t="s">
        <v>1299</v>
      </c>
      <c r="E37" s="116" t="s">
        <v>1298</v>
      </c>
      <c r="F37" s="157">
        <v>3</v>
      </c>
    </row>
    <row r="38" spans="1:6" x14ac:dyDescent="0.2">
      <c r="A38" s="157" t="s">
        <v>1096</v>
      </c>
      <c r="B38" s="157" t="s">
        <v>205</v>
      </c>
      <c r="C38" s="157" t="s">
        <v>55</v>
      </c>
      <c r="D38" s="157" t="s">
        <v>1300</v>
      </c>
      <c r="E38" s="116" t="s">
        <v>1298</v>
      </c>
      <c r="F38" s="157" t="s">
        <v>360</v>
      </c>
    </row>
    <row r="39" spans="1:6" x14ac:dyDescent="0.2">
      <c r="A39" s="157" t="s">
        <v>860</v>
      </c>
      <c r="B39" s="157" t="s">
        <v>205</v>
      </c>
      <c r="C39" s="157" t="s">
        <v>56</v>
      </c>
      <c r="D39" s="157" t="s">
        <v>1301</v>
      </c>
      <c r="E39" s="116" t="s">
        <v>1302</v>
      </c>
      <c r="F39" s="157">
        <v>3</v>
      </c>
    </row>
    <row r="40" spans="1:6" x14ac:dyDescent="0.2">
      <c r="A40" s="157" t="s">
        <v>860</v>
      </c>
      <c r="B40" s="157" t="s">
        <v>205</v>
      </c>
      <c r="C40" s="157" t="s">
        <v>56</v>
      </c>
      <c r="D40" s="157" t="s">
        <v>1303</v>
      </c>
      <c r="E40" s="116" t="s">
        <v>1302</v>
      </c>
      <c r="F40" s="157">
        <v>4</v>
      </c>
    </row>
    <row r="41" spans="1:6" x14ac:dyDescent="0.2">
      <c r="A41" s="157" t="s">
        <v>860</v>
      </c>
      <c r="B41" s="157" t="s">
        <v>751</v>
      </c>
      <c r="C41" s="157" t="s">
        <v>838</v>
      </c>
      <c r="D41" s="157" t="s">
        <v>1241</v>
      </c>
      <c r="E41" s="116" t="s">
        <v>1302</v>
      </c>
      <c r="F41" s="157">
        <v>3</v>
      </c>
    </row>
    <row r="42" spans="1:6" x14ac:dyDescent="0.2">
      <c r="A42" s="157" t="s">
        <v>860</v>
      </c>
      <c r="B42" s="157" t="s">
        <v>751</v>
      </c>
      <c r="C42" s="157" t="s">
        <v>169</v>
      </c>
      <c r="D42" s="157" t="s">
        <v>1241</v>
      </c>
      <c r="E42" s="116" t="s">
        <v>1302</v>
      </c>
      <c r="F42" s="157">
        <v>4</v>
      </c>
    </row>
    <row r="43" spans="1:6" x14ac:dyDescent="0.2">
      <c r="A43" s="157" t="s">
        <v>1063</v>
      </c>
      <c r="B43" s="157" t="s">
        <v>358</v>
      </c>
      <c r="C43" s="157" t="s">
        <v>155</v>
      </c>
      <c r="D43" s="157" t="s">
        <v>1304</v>
      </c>
      <c r="E43" s="157" t="s">
        <v>1302</v>
      </c>
      <c r="F43" s="157">
        <v>2</v>
      </c>
    </row>
    <row r="44" spans="1:6" x14ac:dyDescent="0.2">
      <c r="A44" s="157" t="s">
        <v>1096</v>
      </c>
      <c r="B44" s="157" t="s">
        <v>205</v>
      </c>
      <c r="C44" s="157" t="s">
        <v>1120</v>
      </c>
      <c r="D44" s="157" t="s">
        <v>1305</v>
      </c>
      <c r="E44" s="157" t="s">
        <v>1306</v>
      </c>
      <c r="F44" s="157">
        <v>4</v>
      </c>
    </row>
    <row r="45" spans="1:6" x14ac:dyDescent="0.2">
      <c r="A45" s="157" t="s">
        <v>1096</v>
      </c>
      <c r="B45" s="157" t="s">
        <v>230</v>
      </c>
      <c r="C45" s="157" t="s">
        <v>1012</v>
      </c>
      <c r="D45" s="157" t="s">
        <v>1269</v>
      </c>
      <c r="E45" s="157" t="s">
        <v>1306</v>
      </c>
      <c r="F45" s="157" t="s">
        <v>360</v>
      </c>
    </row>
    <row r="46" spans="1:6" x14ac:dyDescent="0.2">
      <c r="A46" s="157" t="s">
        <v>860</v>
      </c>
      <c r="B46" s="157" t="s">
        <v>1292</v>
      </c>
      <c r="C46" s="157" t="s">
        <v>157</v>
      </c>
      <c r="D46" s="157" t="s">
        <v>1307</v>
      </c>
      <c r="E46" s="157" t="s">
        <v>1306</v>
      </c>
      <c r="F46" s="157">
        <v>4</v>
      </c>
    </row>
    <row r="47" spans="1:6" x14ac:dyDescent="0.2">
      <c r="A47" s="157" t="s">
        <v>860</v>
      </c>
      <c r="B47" s="157" t="s">
        <v>1292</v>
      </c>
      <c r="C47" s="157" t="s">
        <v>157</v>
      </c>
      <c r="D47" s="157" t="s">
        <v>1308</v>
      </c>
      <c r="E47" s="157" t="s">
        <v>1306</v>
      </c>
      <c r="F47" s="157" t="s">
        <v>360</v>
      </c>
    </row>
    <row r="48" spans="1:6" x14ac:dyDescent="0.2">
      <c r="A48" s="347" t="s">
        <v>1071</v>
      </c>
      <c r="B48" s="347" t="s">
        <v>1119</v>
      </c>
      <c r="C48" s="347" t="s">
        <v>1248</v>
      </c>
      <c r="D48" s="347" t="s">
        <v>698</v>
      </c>
      <c r="E48" s="348">
        <v>45673</v>
      </c>
      <c r="F48" s="347"/>
    </row>
    <row r="49" spans="1:6" x14ac:dyDescent="0.2">
      <c r="A49" s="347" t="s">
        <v>1071</v>
      </c>
      <c r="B49" s="347" t="s">
        <v>1281</v>
      </c>
      <c r="C49" s="347" t="s">
        <v>1285</v>
      </c>
      <c r="D49" s="347" t="s">
        <v>698</v>
      </c>
      <c r="E49" s="348">
        <v>45670</v>
      </c>
      <c r="F49" s="347"/>
    </row>
    <row r="50" spans="1:6" x14ac:dyDescent="0.2">
      <c r="A50" s="347" t="s">
        <v>1071</v>
      </c>
      <c r="B50" s="347" t="s">
        <v>1119</v>
      </c>
      <c r="C50" s="347" t="s">
        <v>1211</v>
      </c>
      <c r="D50" s="347" t="s">
        <v>698</v>
      </c>
      <c r="E50" s="348">
        <v>45670</v>
      </c>
      <c r="F50" s="347"/>
    </row>
    <row r="51" spans="1:6" x14ac:dyDescent="0.2">
      <c r="A51" s="347" t="s">
        <v>1309</v>
      </c>
      <c r="B51" s="347" t="s">
        <v>1281</v>
      </c>
      <c r="C51" s="347" t="s">
        <v>1120</v>
      </c>
      <c r="D51" s="347" t="s">
        <v>698</v>
      </c>
      <c r="E51" s="348">
        <v>45670</v>
      </c>
      <c r="F51" s="347"/>
    </row>
    <row r="52" spans="1:6" x14ac:dyDescent="0.2">
      <c r="A52" s="347" t="s">
        <v>1071</v>
      </c>
      <c r="B52" s="347" t="s">
        <v>1119</v>
      </c>
      <c r="C52" s="347" t="s">
        <v>1310</v>
      </c>
      <c r="D52" s="347" t="s">
        <v>698</v>
      </c>
      <c r="E52" s="348">
        <v>45670</v>
      </c>
      <c r="F52" s="347"/>
    </row>
    <row r="53" spans="1:6" x14ac:dyDescent="0.2">
      <c r="A53" s="347" t="s">
        <v>1311</v>
      </c>
      <c r="B53" s="347" t="s">
        <v>1281</v>
      </c>
      <c r="C53" s="347" t="s">
        <v>1265</v>
      </c>
      <c r="D53" s="347" t="s">
        <v>698</v>
      </c>
      <c r="E53" s="348">
        <v>45669</v>
      </c>
      <c r="F53" s="347"/>
    </row>
    <row r="54" spans="1:6" x14ac:dyDescent="0.2">
      <c r="A54" s="346" t="s">
        <v>484</v>
      </c>
      <c r="B54" s="346" t="s">
        <v>484</v>
      </c>
      <c r="C54" s="346" t="s">
        <v>484</v>
      </c>
      <c r="D54" s="346" t="s">
        <v>484</v>
      </c>
      <c r="E54" s="346" t="s">
        <v>484</v>
      </c>
      <c r="F54" s="346" t="s">
        <v>484</v>
      </c>
    </row>
    <row r="55" spans="1:6" x14ac:dyDescent="0.2">
      <c r="A55" s="157" t="s">
        <v>1096</v>
      </c>
      <c r="B55" s="157" t="s">
        <v>205</v>
      </c>
      <c r="C55" s="157" t="s">
        <v>1120</v>
      </c>
      <c r="D55" s="157" t="s">
        <v>1312</v>
      </c>
      <c r="E55" s="157" t="s">
        <v>1313</v>
      </c>
      <c r="F55" s="157">
        <v>3</v>
      </c>
    </row>
    <row r="56" spans="1:6" x14ac:dyDescent="0.2">
      <c r="A56" s="157" t="s">
        <v>1063</v>
      </c>
      <c r="B56" s="157" t="s">
        <v>202</v>
      </c>
      <c r="C56" s="157" t="s">
        <v>1211</v>
      </c>
      <c r="D56" s="157" t="s">
        <v>1016</v>
      </c>
      <c r="E56" s="157" t="s">
        <v>1314</v>
      </c>
      <c r="F56" s="157">
        <v>4</v>
      </c>
    </row>
    <row r="57" spans="1:6" x14ac:dyDescent="0.2">
      <c r="A57" s="157" t="s">
        <v>1063</v>
      </c>
      <c r="B57" s="157" t="s">
        <v>250</v>
      </c>
      <c r="C57" s="157" t="s">
        <v>1150</v>
      </c>
      <c r="D57" s="157" t="s">
        <v>1315</v>
      </c>
      <c r="E57" s="157" t="s">
        <v>465</v>
      </c>
      <c r="F57" s="157">
        <v>3</v>
      </c>
    </row>
    <row r="58" spans="1:6" x14ac:dyDescent="0.2">
      <c r="A58" s="157" t="s">
        <v>860</v>
      </c>
      <c r="B58" s="157" t="s">
        <v>273</v>
      </c>
      <c r="C58" s="157" t="s">
        <v>838</v>
      </c>
      <c r="D58" s="157" t="s">
        <v>1316</v>
      </c>
      <c r="E58" s="157" t="s">
        <v>465</v>
      </c>
      <c r="F58" s="157" t="s">
        <v>1317</v>
      </c>
    </row>
    <row r="59" spans="1:6" x14ac:dyDescent="0.2">
      <c r="A59" s="157" t="s">
        <v>860</v>
      </c>
      <c r="B59" s="157" t="s">
        <v>273</v>
      </c>
      <c r="C59" s="157" t="s">
        <v>157</v>
      </c>
      <c r="D59" s="157" t="s">
        <v>1316</v>
      </c>
      <c r="E59" s="157" t="s">
        <v>465</v>
      </c>
      <c r="F59" s="157" t="s">
        <v>1317</v>
      </c>
    </row>
    <row r="60" spans="1:6" x14ac:dyDescent="0.2">
      <c r="A60" s="157" t="s">
        <v>860</v>
      </c>
      <c r="B60" s="157" t="s">
        <v>273</v>
      </c>
      <c r="C60" s="157" t="s">
        <v>1218</v>
      </c>
      <c r="D60" s="157" t="s">
        <v>1316</v>
      </c>
      <c r="E60" s="157" t="s">
        <v>465</v>
      </c>
      <c r="F60" s="157" t="s">
        <v>1317</v>
      </c>
    </row>
    <row r="61" spans="1:6" x14ac:dyDescent="0.2">
      <c r="A61" s="157" t="s">
        <v>860</v>
      </c>
      <c r="B61" s="157" t="s">
        <v>273</v>
      </c>
      <c r="C61" s="157" t="s">
        <v>1318</v>
      </c>
      <c r="D61" s="157" t="s">
        <v>1316</v>
      </c>
      <c r="E61" s="157" t="s">
        <v>465</v>
      </c>
      <c r="F61" s="157" t="s">
        <v>1317</v>
      </c>
    </row>
    <row r="62" spans="1:6" x14ac:dyDescent="0.2">
      <c r="A62" s="157" t="s">
        <v>860</v>
      </c>
      <c r="B62" s="157" t="s">
        <v>273</v>
      </c>
      <c r="C62" s="157" t="s">
        <v>1310</v>
      </c>
      <c r="D62" s="157" t="s">
        <v>1316</v>
      </c>
      <c r="E62" s="157" t="s">
        <v>465</v>
      </c>
      <c r="F62" s="157" t="s">
        <v>1317</v>
      </c>
    </row>
    <row r="63" spans="1:6" x14ac:dyDescent="0.2">
      <c r="A63" s="157" t="s">
        <v>860</v>
      </c>
      <c r="B63" s="157" t="s">
        <v>273</v>
      </c>
      <c r="C63" s="157" t="s">
        <v>169</v>
      </c>
      <c r="D63" s="157" t="s">
        <v>1316</v>
      </c>
      <c r="E63" s="157" t="s">
        <v>465</v>
      </c>
      <c r="F63" s="157" t="s">
        <v>1317</v>
      </c>
    </row>
    <row r="64" spans="1:6" x14ac:dyDescent="0.2">
      <c r="A64" s="157" t="s">
        <v>860</v>
      </c>
      <c r="B64" s="157" t="s">
        <v>383</v>
      </c>
      <c r="C64" s="157" t="s">
        <v>1310</v>
      </c>
      <c r="D64" s="157" t="s">
        <v>1319</v>
      </c>
      <c r="E64" s="157" t="s">
        <v>467</v>
      </c>
      <c r="F64" s="157">
        <v>4</v>
      </c>
    </row>
    <row r="65" spans="1:6" x14ac:dyDescent="0.2">
      <c r="A65" s="157" t="s">
        <v>1063</v>
      </c>
      <c r="B65" s="157" t="s">
        <v>205</v>
      </c>
      <c r="C65" s="157" t="s">
        <v>155</v>
      </c>
      <c r="D65" s="157" t="s">
        <v>1320</v>
      </c>
      <c r="E65" s="157" t="s">
        <v>467</v>
      </c>
      <c r="F65" s="157" t="s">
        <v>360</v>
      </c>
    </row>
    <row r="66" spans="1:6" x14ac:dyDescent="0.2">
      <c r="A66" s="157" t="s">
        <v>860</v>
      </c>
      <c r="B66" s="157" t="s">
        <v>529</v>
      </c>
      <c r="C66" s="157" t="s">
        <v>157</v>
      </c>
      <c r="D66" s="157" t="s">
        <v>1321</v>
      </c>
      <c r="E66" s="157" t="s">
        <v>467</v>
      </c>
      <c r="F66" s="157" t="s">
        <v>360</v>
      </c>
    </row>
    <row r="67" spans="1:6" x14ac:dyDescent="0.2">
      <c r="A67" s="157" t="s">
        <v>860</v>
      </c>
      <c r="B67" s="157" t="s">
        <v>383</v>
      </c>
      <c r="C67" s="157" t="s">
        <v>169</v>
      </c>
      <c r="D67" s="157" t="s">
        <v>1322</v>
      </c>
      <c r="E67" s="157" t="s">
        <v>467</v>
      </c>
      <c r="F67" s="157" t="s">
        <v>360</v>
      </c>
    </row>
    <row r="68" spans="1:6" x14ac:dyDescent="0.2">
      <c r="A68" s="157" t="s">
        <v>860</v>
      </c>
      <c r="B68" s="157" t="s">
        <v>192</v>
      </c>
      <c r="C68" s="157" t="s">
        <v>1248</v>
      </c>
      <c r="D68" s="157" t="s">
        <v>1323</v>
      </c>
      <c r="E68" s="157" t="s">
        <v>472</v>
      </c>
      <c r="F68" s="157">
        <v>4</v>
      </c>
    </row>
    <row r="69" spans="1:6" x14ac:dyDescent="0.2">
      <c r="A69" s="157" t="s">
        <v>1063</v>
      </c>
      <c r="B69" s="157" t="s">
        <v>205</v>
      </c>
      <c r="C69" s="157" t="s">
        <v>1285</v>
      </c>
      <c r="D69" s="157" t="s">
        <v>1324</v>
      </c>
      <c r="E69" s="157" t="s">
        <v>472</v>
      </c>
      <c r="F69" s="157">
        <v>4</v>
      </c>
    </row>
    <row r="70" spans="1:6" x14ac:dyDescent="0.2">
      <c r="A70" s="157" t="s">
        <v>860</v>
      </c>
      <c r="B70" s="157" t="s">
        <v>529</v>
      </c>
      <c r="C70" s="157" t="s">
        <v>157</v>
      </c>
      <c r="D70" s="157" t="s">
        <v>1325</v>
      </c>
      <c r="E70" s="157" t="s">
        <v>467</v>
      </c>
      <c r="F70" s="157">
        <v>4</v>
      </c>
    </row>
    <row r="71" spans="1:6" x14ac:dyDescent="0.2">
      <c r="A71" s="157" t="s">
        <v>860</v>
      </c>
      <c r="B71" s="157" t="s">
        <v>529</v>
      </c>
      <c r="C71" s="157" t="s">
        <v>157</v>
      </c>
      <c r="D71" s="157" t="s">
        <v>1326</v>
      </c>
      <c r="E71" s="157" t="s">
        <v>467</v>
      </c>
      <c r="F71" s="157" t="s">
        <v>360</v>
      </c>
    </row>
    <row r="72" spans="1:6" x14ac:dyDescent="0.2">
      <c r="A72" s="347" t="s">
        <v>1148</v>
      </c>
      <c r="B72" s="347" t="s">
        <v>1119</v>
      </c>
      <c r="C72" s="347" t="s">
        <v>1100</v>
      </c>
      <c r="D72" s="347" t="s">
        <v>698</v>
      </c>
      <c r="E72" s="348">
        <v>45679</v>
      </c>
      <c r="F72" s="347"/>
    </row>
    <row r="73" spans="1:6" x14ac:dyDescent="0.2">
      <c r="A73" s="347" t="s">
        <v>1148</v>
      </c>
      <c r="B73" s="347" t="s">
        <v>656</v>
      </c>
      <c r="C73" s="347" t="s">
        <v>1327</v>
      </c>
      <c r="D73" s="347" t="s">
        <v>698</v>
      </c>
      <c r="E73" s="348">
        <v>46043</v>
      </c>
      <c r="F73" s="347"/>
    </row>
    <row r="74" spans="1:6" x14ac:dyDescent="0.2">
      <c r="A74" s="347" t="s">
        <v>1071</v>
      </c>
      <c r="B74" s="347" t="s">
        <v>1119</v>
      </c>
      <c r="C74" s="347" t="s">
        <v>1262</v>
      </c>
      <c r="D74" s="347" t="s">
        <v>698</v>
      </c>
      <c r="E74" s="348">
        <v>46042</v>
      </c>
      <c r="F74" s="347"/>
    </row>
    <row r="75" spans="1:6" x14ac:dyDescent="0.2">
      <c r="A75" s="346" t="s">
        <v>498</v>
      </c>
      <c r="B75" s="346" t="s">
        <v>498</v>
      </c>
      <c r="C75" s="346" t="s">
        <v>498</v>
      </c>
      <c r="D75" s="346" t="s">
        <v>498</v>
      </c>
      <c r="E75" s="346" t="s">
        <v>498</v>
      </c>
      <c r="F75" s="346" t="s">
        <v>498</v>
      </c>
    </row>
    <row r="76" spans="1:6" x14ac:dyDescent="0.2">
      <c r="A76" s="157" t="s">
        <v>1096</v>
      </c>
      <c r="B76" s="157" t="s">
        <v>205</v>
      </c>
      <c r="C76" s="157" t="s">
        <v>1120</v>
      </c>
      <c r="D76" s="157" t="s">
        <v>1328</v>
      </c>
      <c r="E76" s="157" t="s">
        <v>1329</v>
      </c>
      <c r="F76" s="157">
        <v>3</v>
      </c>
    </row>
    <row r="77" spans="1:6" x14ac:dyDescent="0.2">
      <c r="A77" s="157" t="s">
        <v>1063</v>
      </c>
      <c r="B77" s="157" t="s">
        <v>205</v>
      </c>
      <c r="C77" s="157" t="s">
        <v>847</v>
      </c>
      <c r="D77" s="157" t="s">
        <v>1330</v>
      </c>
      <c r="E77" s="157" t="s">
        <v>1331</v>
      </c>
      <c r="F77" s="157" t="s">
        <v>360</v>
      </c>
    </row>
    <row r="78" spans="1:6" x14ac:dyDescent="0.2">
      <c r="A78" s="157" t="s">
        <v>31</v>
      </c>
      <c r="B78" s="157" t="s">
        <v>192</v>
      </c>
      <c r="C78" s="157" t="s">
        <v>830</v>
      </c>
      <c r="D78" s="157" t="s">
        <v>1332</v>
      </c>
      <c r="E78" s="116" t="s">
        <v>1331</v>
      </c>
      <c r="F78" s="157">
        <v>4</v>
      </c>
    </row>
    <row r="79" spans="1:6" x14ac:dyDescent="0.2">
      <c r="A79" s="157" t="s">
        <v>860</v>
      </c>
      <c r="B79" s="157" t="s">
        <v>286</v>
      </c>
      <c r="C79" s="157" t="s">
        <v>1333</v>
      </c>
      <c r="D79" s="157" t="s">
        <v>1334</v>
      </c>
      <c r="E79" s="116" t="s">
        <v>1331</v>
      </c>
      <c r="F79" s="157">
        <v>4</v>
      </c>
    </row>
    <row r="80" spans="1:6" x14ac:dyDescent="0.2">
      <c r="A80" s="157" t="s">
        <v>860</v>
      </c>
      <c r="B80" s="157" t="s">
        <v>383</v>
      </c>
      <c r="C80" s="157" t="s">
        <v>169</v>
      </c>
      <c r="D80" s="157" t="s">
        <v>1335</v>
      </c>
      <c r="E80" s="116" t="s">
        <v>1331</v>
      </c>
      <c r="F80" s="157">
        <v>4</v>
      </c>
    </row>
    <row r="81" spans="1:6" x14ac:dyDescent="0.2">
      <c r="A81" s="157" t="s">
        <v>860</v>
      </c>
      <c r="B81" s="157" t="s">
        <v>192</v>
      </c>
      <c r="C81" s="157" t="s">
        <v>1248</v>
      </c>
      <c r="D81" s="157" t="s">
        <v>1336</v>
      </c>
      <c r="E81" s="116" t="s">
        <v>1337</v>
      </c>
      <c r="F81" s="157">
        <v>3</v>
      </c>
    </row>
    <row r="82" spans="1:6" x14ac:dyDescent="0.2">
      <c r="A82" s="157" t="s">
        <v>1063</v>
      </c>
      <c r="B82" s="157" t="s">
        <v>358</v>
      </c>
      <c r="C82" s="157" t="s">
        <v>155</v>
      </c>
      <c r="D82" s="157" t="s">
        <v>1225</v>
      </c>
      <c r="E82" s="116" t="s">
        <v>1337</v>
      </c>
      <c r="F82" s="157" t="s">
        <v>360</v>
      </c>
    </row>
    <row r="83" spans="1:6" x14ac:dyDescent="0.2">
      <c r="A83" s="157" t="s">
        <v>31</v>
      </c>
      <c r="B83" s="157" t="s">
        <v>205</v>
      </c>
      <c r="C83" s="157" t="s">
        <v>1120</v>
      </c>
      <c r="D83" s="157" t="s">
        <v>1338</v>
      </c>
      <c r="E83" s="116" t="s">
        <v>1339</v>
      </c>
      <c r="F83" s="157" t="s">
        <v>1340</v>
      </c>
    </row>
    <row r="84" spans="1:6" x14ac:dyDescent="0.2">
      <c r="A84" s="157" t="s">
        <v>1063</v>
      </c>
      <c r="B84" s="157" t="s">
        <v>202</v>
      </c>
      <c r="C84" s="157" t="s">
        <v>885</v>
      </c>
      <c r="D84" s="157" t="s">
        <v>1341</v>
      </c>
      <c r="E84" s="116" t="s">
        <v>1339</v>
      </c>
      <c r="F84" s="157">
        <v>4</v>
      </c>
    </row>
    <row r="85" spans="1:6" x14ac:dyDescent="0.2">
      <c r="A85" s="157" t="s">
        <v>860</v>
      </c>
      <c r="B85" s="157" t="s">
        <v>767</v>
      </c>
      <c r="C85" s="157" t="s">
        <v>1333</v>
      </c>
      <c r="D85" s="157" t="s">
        <v>1342</v>
      </c>
      <c r="E85" s="116" t="s">
        <v>1339</v>
      </c>
      <c r="F85" s="157">
        <v>4</v>
      </c>
    </row>
    <row r="86" spans="1:6" x14ac:dyDescent="0.2">
      <c r="A86" s="157" t="s">
        <v>860</v>
      </c>
      <c r="B86" s="157" t="s">
        <v>192</v>
      </c>
      <c r="C86" s="157" t="s">
        <v>1248</v>
      </c>
      <c r="D86" s="157" t="s">
        <v>1343</v>
      </c>
      <c r="E86" s="116" t="s">
        <v>1339</v>
      </c>
      <c r="F86" s="157">
        <v>4</v>
      </c>
    </row>
    <row r="87" spans="1:6" x14ac:dyDescent="0.2">
      <c r="A87" s="157" t="s">
        <v>860</v>
      </c>
      <c r="B87" s="157" t="s">
        <v>751</v>
      </c>
      <c r="C87" s="157" t="s">
        <v>838</v>
      </c>
      <c r="D87" s="157" t="s">
        <v>1344</v>
      </c>
      <c r="E87" s="116" t="s">
        <v>1339</v>
      </c>
      <c r="F87" s="157">
        <v>3</v>
      </c>
    </row>
    <row r="88" spans="1:6" x14ac:dyDescent="0.2">
      <c r="A88" s="157" t="s">
        <v>860</v>
      </c>
      <c r="B88" s="157" t="s">
        <v>250</v>
      </c>
      <c r="C88" s="157" t="s">
        <v>1310</v>
      </c>
      <c r="D88" s="157" t="s">
        <v>1345</v>
      </c>
      <c r="E88" s="116" t="s">
        <v>1346</v>
      </c>
      <c r="F88" s="157">
        <v>4</v>
      </c>
    </row>
    <row r="89" spans="1:6" x14ac:dyDescent="0.2">
      <c r="A89" s="347" t="s">
        <v>1347</v>
      </c>
      <c r="B89" s="347" t="s">
        <v>1348</v>
      </c>
      <c r="C89" s="347" t="s">
        <v>1349</v>
      </c>
      <c r="D89" s="347" t="s">
        <v>698</v>
      </c>
      <c r="E89" s="348">
        <v>46048</v>
      </c>
      <c r="F89" s="347"/>
    </row>
    <row r="90" spans="1:6" x14ac:dyDescent="0.2">
      <c r="A90" s="347" t="s">
        <v>1071</v>
      </c>
      <c r="B90" s="347" t="s">
        <v>1119</v>
      </c>
      <c r="C90" s="347" t="s">
        <v>155</v>
      </c>
      <c r="D90" s="347" t="s">
        <v>698</v>
      </c>
      <c r="E90" s="348">
        <v>46050</v>
      </c>
      <c r="F90" s="347"/>
    </row>
    <row r="91" spans="1:6" x14ac:dyDescent="0.2">
      <c r="A91" s="347" t="s">
        <v>1071</v>
      </c>
      <c r="B91" s="347" t="s">
        <v>1119</v>
      </c>
      <c r="C91" s="347" t="s">
        <v>1150</v>
      </c>
      <c r="D91" s="347" t="s">
        <v>698</v>
      </c>
      <c r="E91" s="348">
        <v>46050</v>
      </c>
      <c r="F91" s="347"/>
    </row>
    <row r="92" spans="1:6" x14ac:dyDescent="0.2">
      <c r="A92" s="347" t="s">
        <v>1350</v>
      </c>
      <c r="B92" s="347" t="s">
        <v>1264</v>
      </c>
      <c r="C92" s="347" t="s">
        <v>1351</v>
      </c>
      <c r="D92" s="347" t="s">
        <v>698</v>
      </c>
      <c r="E92" s="348">
        <v>46050</v>
      </c>
      <c r="F92" s="347"/>
    </row>
    <row r="93" spans="1:6" x14ac:dyDescent="0.2">
      <c r="A93" s="347" t="s">
        <v>1071</v>
      </c>
      <c r="B93" s="347" t="s">
        <v>1119</v>
      </c>
      <c r="C93" s="347" t="s">
        <v>885</v>
      </c>
      <c r="D93" s="347" t="s">
        <v>698</v>
      </c>
      <c r="E93" s="348">
        <v>46051</v>
      </c>
      <c r="F93" s="347"/>
    </row>
    <row r="94" spans="1:6" x14ac:dyDescent="0.2">
      <c r="A94" s="347" t="s">
        <v>1352</v>
      </c>
      <c r="B94" s="347" t="s">
        <v>1264</v>
      </c>
      <c r="C94" s="347" t="s">
        <v>1353</v>
      </c>
      <c r="D94" s="347" t="s">
        <v>698</v>
      </c>
      <c r="E94" s="348">
        <v>46051</v>
      </c>
      <c r="F94" s="347"/>
    </row>
    <row r="95" spans="1:6" x14ac:dyDescent="0.2">
      <c r="A95" s="347" t="s">
        <v>1071</v>
      </c>
      <c r="B95" s="347" t="s">
        <v>1119</v>
      </c>
      <c r="C95" s="347" t="s">
        <v>1248</v>
      </c>
      <c r="D95" s="347" t="s">
        <v>698</v>
      </c>
      <c r="E95" s="348">
        <v>46052</v>
      </c>
      <c r="F95" s="347"/>
    </row>
    <row r="96" spans="1:6" x14ac:dyDescent="0.2">
      <c r="A96" s="346" t="s">
        <v>507</v>
      </c>
      <c r="B96" s="346" t="s">
        <v>507</v>
      </c>
      <c r="C96" s="346" t="s">
        <v>507</v>
      </c>
      <c r="D96" s="346" t="s">
        <v>507</v>
      </c>
      <c r="E96" s="346" t="s">
        <v>507</v>
      </c>
      <c r="F96" s="346" t="s">
        <v>507</v>
      </c>
    </row>
    <row r="97" spans="1:6" x14ac:dyDescent="0.2">
      <c r="A97" s="157" t="s">
        <v>31</v>
      </c>
      <c r="B97" s="157" t="s">
        <v>205</v>
      </c>
      <c r="C97" s="157" t="s">
        <v>1120</v>
      </c>
      <c r="D97" s="157" t="s">
        <v>1354</v>
      </c>
      <c r="E97" s="116">
        <v>46055</v>
      </c>
      <c r="F97" s="157">
        <v>4</v>
      </c>
    </row>
    <row r="98" spans="1:6" x14ac:dyDescent="0.2">
      <c r="A98" s="157" t="s">
        <v>860</v>
      </c>
      <c r="B98" s="157" t="s">
        <v>192</v>
      </c>
      <c r="C98" s="157" t="s">
        <v>1248</v>
      </c>
      <c r="D98" s="157" t="s">
        <v>1355</v>
      </c>
      <c r="E98" s="116">
        <v>46055</v>
      </c>
      <c r="F98" s="157">
        <v>4</v>
      </c>
    </row>
    <row r="99" spans="1:6" x14ac:dyDescent="0.2">
      <c r="A99" s="157" t="s">
        <v>860</v>
      </c>
      <c r="B99" s="157" t="s">
        <v>383</v>
      </c>
      <c r="C99" s="157" t="s">
        <v>1091</v>
      </c>
      <c r="D99" s="157" t="s">
        <v>1356</v>
      </c>
      <c r="E99" s="116">
        <v>46055</v>
      </c>
      <c r="F99" s="157">
        <v>4</v>
      </c>
    </row>
    <row r="100" spans="1:6" x14ac:dyDescent="0.2">
      <c r="A100" s="157" t="s">
        <v>1063</v>
      </c>
      <c r="B100" s="157" t="s">
        <v>286</v>
      </c>
      <c r="C100" s="157" t="s">
        <v>885</v>
      </c>
      <c r="D100" s="157" t="s">
        <v>1357</v>
      </c>
      <c r="E100" s="116">
        <v>46055</v>
      </c>
      <c r="F100" s="157">
        <v>4</v>
      </c>
    </row>
    <row r="101" spans="1:6" x14ac:dyDescent="0.2">
      <c r="A101" s="157" t="s">
        <v>1063</v>
      </c>
      <c r="B101" s="157" t="s">
        <v>202</v>
      </c>
      <c r="C101" s="157" t="s">
        <v>1150</v>
      </c>
      <c r="D101" s="157" t="s">
        <v>1358</v>
      </c>
      <c r="E101" s="354" t="s">
        <v>1359</v>
      </c>
      <c r="F101" s="157">
        <v>4</v>
      </c>
    </row>
    <row r="102" spans="1:6" x14ac:dyDescent="0.2">
      <c r="A102" s="157" t="s">
        <v>860</v>
      </c>
      <c r="B102" s="157" t="s">
        <v>383</v>
      </c>
      <c r="C102" s="157" t="s">
        <v>1310</v>
      </c>
      <c r="D102" s="157" t="s">
        <v>947</v>
      </c>
      <c r="E102" s="354" t="s">
        <v>1359</v>
      </c>
      <c r="F102" s="157">
        <v>4</v>
      </c>
    </row>
    <row r="103" spans="1:6" x14ac:dyDescent="0.2">
      <c r="A103" s="157" t="s">
        <v>860</v>
      </c>
      <c r="B103" s="157" t="s">
        <v>257</v>
      </c>
      <c r="C103" s="157" t="s">
        <v>169</v>
      </c>
      <c r="D103" s="157" t="s">
        <v>1360</v>
      </c>
      <c r="E103" s="354" t="s">
        <v>1359</v>
      </c>
      <c r="F103" s="157">
        <v>4</v>
      </c>
    </row>
    <row r="104" spans="1:6" x14ac:dyDescent="0.2">
      <c r="A104" s="157" t="s">
        <v>1096</v>
      </c>
      <c r="B104" s="157" t="s">
        <v>205</v>
      </c>
      <c r="C104" s="157" t="s">
        <v>1012</v>
      </c>
      <c r="D104" s="157" t="s">
        <v>1361</v>
      </c>
      <c r="E104" s="354" t="s">
        <v>1359</v>
      </c>
      <c r="F104" s="157">
        <v>4</v>
      </c>
    </row>
    <row r="105" spans="1:6" x14ac:dyDescent="0.2">
      <c r="A105" s="157" t="s">
        <v>31</v>
      </c>
      <c r="B105" s="157" t="s">
        <v>286</v>
      </c>
      <c r="C105" s="157" t="s">
        <v>1012</v>
      </c>
      <c r="D105" s="157" t="s">
        <v>1362</v>
      </c>
      <c r="E105" s="354" t="s">
        <v>1363</v>
      </c>
      <c r="F105" s="157">
        <v>4</v>
      </c>
    </row>
    <row r="106" spans="1:6" x14ac:dyDescent="0.2">
      <c r="A106" s="157" t="s">
        <v>860</v>
      </c>
      <c r="B106" s="157" t="s">
        <v>293</v>
      </c>
      <c r="C106" s="157" t="s">
        <v>1310</v>
      </c>
      <c r="D106" s="157" t="s">
        <v>1364</v>
      </c>
      <c r="E106" s="354" t="s">
        <v>1363</v>
      </c>
      <c r="F106" s="157">
        <v>4</v>
      </c>
    </row>
    <row r="107" spans="1:6" x14ac:dyDescent="0.2">
      <c r="A107" s="157" t="s">
        <v>860</v>
      </c>
      <c r="B107" s="157" t="s">
        <v>286</v>
      </c>
      <c r="C107" s="157" t="s">
        <v>1365</v>
      </c>
      <c r="D107" s="157" t="s">
        <v>1366</v>
      </c>
      <c r="E107" s="157" t="s">
        <v>1363</v>
      </c>
      <c r="F107" s="157" t="s">
        <v>360</v>
      </c>
    </row>
    <row r="108" spans="1:6" x14ac:dyDescent="0.2">
      <c r="A108" s="157" t="s">
        <v>1096</v>
      </c>
      <c r="B108" s="157" t="s">
        <v>205</v>
      </c>
      <c r="C108" s="157" t="s">
        <v>1120</v>
      </c>
      <c r="D108" s="157" t="s">
        <v>1367</v>
      </c>
      <c r="E108" s="157" t="s">
        <v>1363</v>
      </c>
      <c r="F108" s="157">
        <v>3</v>
      </c>
    </row>
    <row r="109" spans="1:6" x14ac:dyDescent="0.2">
      <c r="A109" s="157" t="s">
        <v>31</v>
      </c>
      <c r="B109" s="157" t="s">
        <v>205</v>
      </c>
      <c r="C109" s="157" t="s">
        <v>55</v>
      </c>
      <c r="D109" s="157" t="s">
        <v>1368</v>
      </c>
      <c r="E109" s="354" t="s">
        <v>1369</v>
      </c>
      <c r="F109" s="157" t="s">
        <v>360</v>
      </c>
    </row>
    <row r="110" spans="1:6" x14ac:dyDescent="0.2">
      <c r="A110" s="157" t="s">
        <v>1063</v>
      </c>
      <c r="B110" s="157" t="s">
        <v>358</v>
      </c>
      <c r="C110" s="157" t="s">
        <v>1009</v>
      </c>
      <c r="D110" s="157" t="s">
        <v>591</v>
      </c>
      <c r="E110" s="354" t="s">
        <v>1369</v>
      </c>
      <c r="F110" s="157" t="s">
        <v>360</v>
      </c>
    </row>
    <row r="111" spans="1:6" x14ac:dyDescent="0.2">
      <c r="A111" s="157" t="s">
        <v>860</v>
      </c>
      <c r="B111" s="157" t="s">
        <v>213</v>
      </c>
      <c r="C111" s="157" t="s">
        <v>1310</v>
      </c>
      <c r="D111" s="157" t="s">
        <v>1370</v>
      </c>
      <c r="E111" s="354" t="s">
        <v>1369</v>
      </c>
      <c r="F111" s="157">
        <v>4</v>
      </c>
    </row>
    <row r="112" spans="1:6" x14ac:dyDescent="0.2">
      <c r="A112" s="157" t="s">
        <v>1096</v>
      </c>
      <c r="B112" s="157" t="s">
        <v>205</v>
      </c>
      <c r="C112" s="157" t="s">
        <v>1262</v>
      </c>
      <c r="D112" s="157" t="s">
        <v>1371</v>
      </c>
      <c r="E112" s="354" t="s">
        <v>1369</v>
      </c>
      <c r="F112" s="157">
        <v>4</v>
      </c>
    </row>
    <row r="113" spans="1:6" x14ac:dyDescent="0.2">
      <c r="A113" s="157" t="s">
        <v>31</v>
      </c>
      <c r="B113" s="157" t="s">
        <v>205</v>
      </c>
      <c r="C113" s="157" t="s">
        <v>55</v>
      </c>
      <c r="D113" s="157" t="s">
        <v>1042</v>
      </c>
      <c r="E113" s="354" t="s">
        <v>1372</v>
      </c>
      <c r="F113" s="157">
        <v>4</v>
      </c>
    </row>
    <row r="114" spans="1:6" x14ac:dyDescent="0.2">
      <c r="A114" s="157" t="s">
        <v>1063</v>
      </c>
      <c r="B114" s="157" t="s">
        <v>205</v>
      </c>
      <c r="C114" s="157" t="s">
        <v>1285</v>
      </c>
      <c r="D114" s="157" t="s">
        <v>1373</v>
      </c>
      <c r="E114" s="354" t="s">
        <v>1372</v>
      </c>
      <c r="F114" s="157" t="s">
        <v>1374</v>
      </c>
    </row>
    <row r="115" spans="1:6" x14ac:dyDescent="0.2">
      <c r="A115" s="157" t="s">
        <v>1063</v>
      </c>
      <c r="B115" s="157" t="s">
        <v>205</v>
      </c>
      <c r="C115" s="157" t="s">
        <v>1285</v>
      </c>
      <c r="D115" s="157" t="s">
        <v>1375</v>
      </c>
      <c r="E115" s="354" t="s">
        <v>1372</v>
      </c>
      <c r="F115" s="157">
        <v>4</v>
      </c>
    </row>
    <row r="116" spans="1:6" x14ac:dyDescent="0.2">
      <c r="A116" s="347" t="s">
        <v>1071</v>
      </c>
      <c r="B116" s="347" t="s">
        <v>1117</v>
      </c>
      <c r="C116" s="347" t="s">
        <v>1327</v>
      </c>
      <c r="D116" s="347" t="s">
        <v>698</v>
      </c>
      <c r="E116" s="348">
        <v>46055</v>
      </c>
      <c r="F116" s="347"/>
    </row>
    <row r="117" spans="1:6" x14ac:dyDescent="0.2">
      <c r="A117" s="347" t="s">
        <v>1071</v>
      </c>
      <c r="B117" s="347" t="s">
        <v>1119</v>
      </c>
      <c r="C117" s="347" t="s">
        <v>838</v>
      </c>
      <c r="D117" s="347" t="s">
        <v>698</v>
      </c>
      <c r="E117" s="348">
        <v>46055</v>
      </c>
      <c r="F117" s="347"/>
    </row>
    <row r="118" spans="1:6" x14ac:dyDescent="0.2">
      <c r="A118" s="347" t="s">
        <v>1376</v>
      </c>
      <c r="B118" s="347" t="s">
        <v>1264</v>
      </c>
      <c r="C118" s="347" t="s">
        <v>1377</v>
      </c>
      <c r="D118" s="347" t="s">
        <v>698</v>
      </c>
      <c r="E118" s="348">
        <v>46055</v>
      </c>
      <c r="F118" s="347"/>
    </row>
    <row r="119" spans="1:6" x14ac:dyDescent="0.2">
      <c r="A119" s="347" t="s">
        <v>1071</v>
      </c>
      <c r="B119" s="347" t="s">
        <v>1119</v>
      </c>
      <c r="C119" s="347" t="s">
        <v>1262</v>
      </c>
      <c r="D119" s="347" t="s">
        <v>698</v>
      </c>
      <c r="E119" s="348">
        <v>46056</v>
      </c>
      <c r="F119" s="347"/>
    </row>
    <row r="120" spans="1:6" x14ac:dyDescent="0.2">
      <c r="A120" s="347" t="s">
        <v>1071</v>
      </c>
      <c r="B120" s="347" t="s">
        <v>1183</v>
      </c>
      <c r="C120" s="347" t="s">
        <v>56</v>
      </c>
      <c r="D120" s="347" t="s">
        <v>698</v>
      </c>
      <c r="E120" s="348">
        <v>46056</v>
      </c>
      <c r="F120" s="347"/>
    </row>
    <row r="121" spans="1:6" x14ac:dyDescent="0.2">
      <c r="A121" s="347" t="s">
        <v>1071</v>
      </c>
      <c r="B121" s="347" t="s">
        <v>1119</v>
      </c>
      <c r="C121" s="347" t="s">
        <v>1365</v>
      </c>
      <c r="D121" s="347" t="s">
        <v>698</v>
      </c>
      <c r="E121" s="348">
        <v>46056</v>
      </c>
      <c r="F121" s="347"/>
    </row>
    <row r="122" spans="1:6" x14ac:dyDescent="0.2">
      <c r="A122" s="347" t="s">
        <v>1071</v>
      </c>
      <c r="B122" s="347" t="s">
        <v>1119</v>
      </c>
      <c r="C122" s="347" t="s">
        <v>1211</v>
      </c>
      <c r="D122" s="347" t="s">
        <v>698</v>
      </c>
      <c r="E122" s="348">
        <v>46056</v>
      </c>
      <c r="F122" s="347"/>
    </row>
    <row r="123" spans="1:6" x14ac:dyDescent="0.2">
      <c r="A123" s="347" t="s">
        <v>1376</v>
      </c>
      <c r="B123" s="347" t="s">
        <v>1264</v>
      </c>
      <c r="C123" s="347" t="s">
        <v>1378</v>
      </c>
      <c r="D123" s="347" t="s">
        <v>698</v>
      </c>
      <c r="E123" s="348">
        <v>46056</v>
      </c>
      <c r="F123" s="347"/>
    </row>
    <row r="124" spans="1:6" x14ac:dyDescent="0.2">
      <c r="A124" s="347" t="s">
        <v>1071</v>
      </c>
      <c r="B124" s="347" t="s">
        <v>1119</v>
      </c>
      <c r="C124" s="347" t="s">
        <v>1285</v>
      </c>
      <c r="D124" s="347" t="s">
        <v>698</v>
      </c>
      <c r="E124" s="348">
        <v>46057</v>
      </c>
      <c r="F124" s="347"/>
    </row>
    <row r="125" spans="1:6" x14ac:dyDescent="0.2">
      <c r="A125" s="347" t="s">
        <v>1071</v>
      </c>
      <c r="B125" s="347" t="s">
        <v>1119</v>
      </c>
      <c r="C125" s="347" t="s">
        <v>830</v>
      </c>
      <c r="D125" s="347" t="s">
        <v>698</v>
      </c>
      <c r="E125" s="348">
        <v>46057</v>
      </c>
      <c r="F125" s="347"/>
    </row>
    <row r="126" spans="1:6" x14ac:dyDescent="0.2">
      <c r="A126" s="347" t="s">
        <v>1261</v>
      </c>
      <c r="B126" s="347" t="s">
        <v>1281</v>
      </c>
      <c r="C126" s="347" t="s">
        <v>1120</v>
      </c>
      <c r="D126" s="347" t="s">
        <v>698</v>
      </c>
      <c r="E126" s="348">
        <v>46058</v>
      </c>
      <c r="F126" s="347"/>
    </row>
    <row r="127" spans="1:6" x14ac:dyDescent="0.2">
      <c r="A127" s="347" t="s">
        <v>1379</v>
      </c>
      <c r="B127" s="347" t="s">
        <v>1281</v>
      </c>
      <c r="C127" s="347" t="s">
        <v>1351</v>
      </c>
      <c r="D127" s="347" t="s">
        <v>698</v>
      </c>
      <c r="E127" s="348">
        <v>46058</v>
      </c>
      <c r="F127" s="347"/>
    </row>
    <row r="128" spans="1:6" x14ac:dyDescent="0.2">
      <c r="A128" s="347" t="s">
        <v>1352</v>
      </c>
      <c r="B128" s="347" t="s">
        <v>1281</v>
      </c>
      <c r="C128" s="347" t="s">
        <v>1353</v>
      </c>
      <c r="D128" s="347" t="s">
        <v>698</v>
      </c>
      <c r="E128" s="348">
        <v>46058</v>
      </c>
      <c r="F128" s="347"/>
    </row>
    <row r="129" spans="1:6" x14ac:dyDescent="0.2">
      <c r="A129" s="346" t="s">
        <v>525</v>
      </c>
      <c r="B129" s="346" t="s">
        <v>525</v>
      </c>
      <c r="C129" s="346" t="s">
        <v>525</v>
      </c>
      <c r="D129" s="346" t="s">
        <v>525</v>
      </c>
      <c r="E129" s="346" t="s">
        <v>525</v>
      </c>
      <c r="F129" s="346" t="s">
        <v>525</v>
      </c>
    </row>
    <row r="130" spans="1:6" x14ac:dyDescent="0.2">
      <c r="A130" s="157" t="s">
        <v>1096</v>
      </c>
      <c r="B130" s="157" t="s">
        <v>205</v>
      </c>
      <c r="C130" s="157" t="s">
        <v>1120</v>
      </c>
      <c r="D130" s="157" t="s">
        <v>1328</v>
      </c>
      <c r="E130" s="354" t="s">
        <v>1380</v>
      </c>
      <c r="F130" s="157" t="s">
        <v>360</v>
      </c>
    </row>
    <row r="131" spans="1:6" x14ac:dyDescent="0.2">
      <c r="A131" s="157" t="s">
        <v>1096</v>
      </c>
      <c r="B131" s="157" t="s">
        <v>205</v>
      </c>
      <c r="C131" s="157" t="s">
        <v>1262</v>
      </c>
      <c r="D131" s="157" t="s">
        <v>1381</v>
      </c>
      <c r="E131" s="354" t="s">
        <v>1380</v>
      </c>
      <c r="F131" s="157">
        <v>4</v>
      </c>
    </row>
    <row r="132" spans="1:6" x14ac:dyDescent="0.2">
      <c r="A132" s="157" t="s">
        <v>860</v>
      </c>
      <c r="B132" s="157" t="s">
        <v>383</v>
      </c>
      <c r="C132" s="157" t="s">
        <v>1310</v>
      </c>
      <c r="D132" s="157" t="s">
        <v>1382</v>
      </c>
      <c r="E132" s="354" t="s">
        <v>1380</v>
      </c>
      <c r="F132" s="157" t="s">
        <v>360</v>
      </c>
    </row>
    <row r="133" spans="1:6" x14ac:dyDescent="0.2">
      <c r="A133" s="157" t="s">
        <v>1063</v>
      </c>
      <c r="B133" s="157" t="s">
        <v>358</v>
      </c>
      <c r="C133" s="157" t="s">
        <v>1383</v>
      </c>
      <c r="D133" s="157" t="s">
        <v>591</v>
      </c>
      <c r="E133" s="354" t="s">
        <v>1380</v>
      </c>
      <c r="F133" s="157">
        <v>4</v>
      </c>
    </row>
    <row r="134" spans="1:6" x14ac:dyDescent="0.2">
      <c r="A134" s="157" t="s">
        <v>1063</v>
      </c>
      <c r="B134" s="157" t="s">
        <v>205</v>
      </c>
      <c r="C134" s="157" t="s">
        <v>1150</v>
      </c>
      <c r="D134" s="157" t="s">
        <v>1384</v>
      </c>
      <c r="E134" s="354" t="s">
        <v>1380</v>
      </c>
      <c r="F134" s="157">
        <v>3</v>
      </c>
    </row>
    <row r="135" spans="1:6" x14ac:dyDescent="0.2">
      <c r="A135" s="157" t="s">
        <v>1096</v>
      </c>
      <c r="B135" s="157" t="s">
        <v>288</v>
      </c>
      <c r="C135" s="157" t="s">
        <v>1012</v>
      </c>
      <c r="D135" s="157" t="s">
        <v>1385</v>
      </c>
      <c r="E135" s="116">
        <v>46063</v>
      </c>
      <c r="F135" s="157">
        <v>3</v>
      </c>
    </row>
    <row r="136" spans="1:6" x14ac:dyDescent="0.2">
      <c r="A136" s="157" t="s">
        <v>1096</v>
      </c>
      <c r="B136" s="157" t="s">
        <v>192</v>
      </c>
      <c r="C136" s="157" t="s">
        <v>1262</v>
      </c>
      <c r="D136" s="157" t="s">
        <v>1386</v>
      </c>
      <c r="E136" s="116">
        <v>46063</v>
      </c>
      <c r="F136" s="157" t="s">
        <v>360</v>
      </c>
    </row>
    <row r="137" spans="1:6" x14ac:dyDescent="0.2">
      <c r="A137" s="157" t="s">
        <v>1063</v>
      </c>
      <c r="B137" s="157" t="s">
        <v>205</v>
      </c>
      <c r="C137" s="157" t="s">
        <v>1150</v>
      </c>
      <c r="D137" s="157" t="s">
        <v>758</v>
      </c>
      <c r="E137" s="116">
        <v>46063</v>
      </c>
      <c r="F137" s="157">
        <v>4</v>
      </c>
    </row>
    <row r="138" spans="1:6" x14ac:dyDescent="0.2">
      <c r="A138" s="157" t="s">
        <v>1063</v>
      </c>
      <c r="B138" s="157" t="s">
        <v>205</v>
      </c>
      <c r="C138" s="157" t="s">
        <v>1150</v>
      </c>
      <c r="D138" s="157" t="s">
        <v>1387</v>
      </c>
      <c r="E138" s="116">
        <v>46063</v>
      </c>
      <c r="F138" s="157">
        <v>4</v>
      </c>
    </row>
    <row r="139" spans="1:6" x14ac:dyDescent="0.2">
      <c r="A139" s="157" t="s">
        <v>860</v>
      </c>
      <c r="B139" s="157" t="s">
        <v>1388</v>
      </c>
      <c r="C139" s="157" t="s">
        <v>1365</v>
      </c>
      <c r="D139" s="157" t="s">
        <v>1389</v>
      </c>
      <c r="E139" s="116">
        <v>46063</v>
      </c>
      <c r="F139" s="157" t="s">
        <v>360</v>
      </c>
    </row>
    <row r="140" spans="1:6" x14ac:dyDescent="0.2">
      <c r="A140" s="157" t="s">
        <v>860</v>
      </c>
      <c r="B140" s="157" t="s">
        <v>288</v>
      </c>
      <c r="C140" s="157" t="s">
        <v>1128</v>
      </c>
      <c r="D140" s="157" t="s">
        <v>1390</v>
      </c>
      <c r="E140" s="356" t="s">
        <v>1391</v>
      </c>
      <c r="F140" s="157" t="s">
        <v>360</v>
      </c>
    </row>
    <row r="141" spans="1:6" x14ac:dyDescent="0.2">
      <c r="A141" s="157" t="s">
        <v>860</v>
      </c>
      <c r="B141" s="157" t="s">
        <v>205</v>
      </c>
      <c r="C141" s="157" t="s">
        <v>1392</v>
      </c>
      <c r="D141" s="157" t="s">
        <v>1393</v>
      </c>
      <c r="E141" s="356" t="s">
        <v>1391</v>
      </c>
      <c r="F141" s="157">
        <v>4</v>
      </c>
    </row>
    <row r="142" spans="1:6" x14ac:dyDescent="0.2">
      <c r="A142" s="157" t="s">
        <v>31</v>
      </c>
      <c r="B142" s="157" t="s">
        <v>358</v>
      </c>
      <c r="C142" s="157" t="s">
        <v>56</v>
      </c>
      <c r="D142" s="157" t="s">
        <v>1394</v>
      </c>
      <c r="E142" s="356" t="s">
        <v>1391</v>
      </c>
      <c r="F142" s="157">
        <v>4</v>
      </c>
    </row>
    <row r="143" spans="1:6" x14ac:dyDescent="0.2">
      <c r="A143" s="157" t="s">
        <v>31</v>
      </c>
      <c r="B143" s="157" t="s">
        <v>205</v>
      </c>
      <c r="C143" s="157" t="s">
        <v>56</v>
      </c>
      <c r="D143" s="157" t="s">
        <v>1395</v>
      </c>
      <c r="E143" s="356" t="s">
        <v>1391</v>
      </c>
      <c r="F143" s="157">
        <v>4</v>
      </c>
    </row>
    <row r="144" spans="1:6" x14ac:dyDescent="0.2">
      <c r="A144" s="157" t="s">
        <v>1063</v>
      </c>
      <c r="B144" s="157" t="s">
        <v>358</v>
      </c>
      <c r="C144" s="157" t="s">
        <v>1383</v>
      </c>
      <c r="D144" s="157" t="s">
        <v>1396</v>
      </c>
      <c r="E144" s="356" t="s">
        <v>1391</v>
      </c>
      <c r="F144" s="157">
        <v>4</v>
      </c>
    </row>
    <row r="145" spans="1:6" x14ac:dyDescent="0.2">
      <c r="A145" s="157" t="s">
        <v>1063</v>
      </c>
      <c r="B145" s="157" t="s">
        <v>358</v>
      </c>
      <c r="C145" s="157" t="s">
        <v>885</v>
      </c>
      <c r="D145" s="157" t="s">
        <v>1397</v>
      </c>
      <c r="E145" s="356" t="s">
        <v>1391</v>
      </c>
      <c r="F145" s="157">
        <v>4</v>
      </c>
    </row>
    <row r="146" spans="1:6" x14ac:dyDescent="0.2">
      <c r="A146" s="157" t="s">
        <v>1096</v>
      </c>
      <c r="B146" s="157" t="s">
        <v>205</v>
      </c>
      <c r="C146" s="157" t="s">
        <v>1398</v>
      </c>
      <c r="D146" s="157" t="s">
        <v>679</v>
      </c>
      <c r="E146" s="116">
        <v>46065</v>
      </c>
      <c r="F146" s="157">
        <v>4</v>
      </c>
    </row>
    <row r="147" spans="1:6" x14ac:dyDescent="0.2">
      <c r="A147" s="157" t="s">
        <v>31</v>
      </c>
      <c r="B147" s="157" t="s">
        <v>205</v>
      </c>
      <c r="C147" s="157" t="s">
        <v>55</v>
      </c>
      <c r="D147" s="157" t="s">
        <v>1399</v>
      </c>
      <c r="E147" s="116">
        <v>46065</v>
      </c>
      <c r="F147" s="157">
        <v>4</v>
      </c>
    </row>
    <row r="148" spans="1:6" x14ac:dyDescent="0.2">
      <c r="A148" s="157" t="s">
        <v>860</v>
      </c>
      <c r="B148" s="157" t="s">
        <v>1400</v>
      </c>
      <c r="C148" s="157" t="s">
        <v>169</v>
      </c>
      <c r="D148" s="157" t="s">
        <v>1401</v>
      </c>
      <c r="E148" s="116">
        <v>46065</v>
      </c>
      <c r="F148" s="157">
        <v>4</v>
      </c>
    </row>
    <row r="149" spans="1:6" x14ac:dyDescent="0.2">
      <c r="A149" s="157" t="s">
        <v>1063</v>
      </c>
      <c r="B149" s="157" t="s">
        <v>1081</v>
      </c>
      <c r="C149" s="157" t="s">
        <v>885</v>
      </c>
      <c r="D149" s="157" t="s">
        <v>1402</v>
      </c>
      <c r="E149" s="116">
        <v>46065</v>
      </c>
      <c r="F149" s="157">
        <v>4</v>
      </c>
    </row>
    <row r="150" spans="1:6" x14ac:dyDescent="0.2">
      <c r="A150" s="157" t="s">
        <v>860</v>
      </c>
      <c r="B150" s="157" t="s">
        <v>192</v>
      </c>
      <c r="C150" s="157" t="s">
        <v>838</v>
      </c>
      <c r="D150" s="157" t="s">
        <v>1403</v>
      </c>
      <c r="E150" s="116">
        <v>46065</v>
      </c>
      <c r="F150" s="157">
        <v>3</v>
      </c>
    </row>
    <row r="151" spans="1:6" x14ac:dyDescent="0.2">
      <c r="A151" s="157" t="s">
        <v>860</v>
      </c>
      <c r="B151" s="157" t="s">
        <v>751</v>
      </c>
      <c r="C151" s="157" t="s">
        <v>838</v>
      </c>
      <c r="D151" s="157" t="s">
        <v>1404</v>
      </c>
      <c r="E151" s="116" t="s">
        <v>1405</v>
      </c>
      <c r="F151" s="157">
        <v>4</v>
      </c>
    </row>
    <row r="152" spans="1:6" x14ac:dyDescent="0.2">
      <c r="A152" s="157" t="s">
        <v>1063</v>
      </c>
      <c r="B152" s="157" t="s">
        <v>205</v>
      </c>
      <c r="C152" s="157" t="s">
        <v>1285</v>
      </c>
      <c r="D152" s="157" t="s">
        <v>1406</v>
      </c>
      <c r="E152" s="116" t="s">
        <v>1405</v>
      </c>
      <c r="F152" s="157">
        <v>4</v>
      </c>
    </row>
    <row r="153" spans="1:6" x14ac:dyDescent="0.2">
      <c r="A153" s="347" t="s">
        <v>1407</v>
      </c>
      <c r="B153" s="347" t="s">
        <v>1281</v>
      </c>
      <c r="C153" s="347" t="s">
        <v>1408</v>
      </c>
      <c r="D153" s="347" t="s">
        <v>698</v>
      </c>
      <c r="E153" s="355" t="s">
        <v>1380</v>
      </c>
      <c r="F153" s="347"/>
    </row>
    <row r="154" spans="1:6" x14ac:dyDescent="0.2">
      <c r="A154" s="347" t="s">
        <v>1409</v>
      </c>
      <c r="B154" s="347" t="s">
        <v>1348</v>
      </c>
      <c r="C154" s="347" t="s">
        <v>1410</v>
      </c>
      <c r="D154" s="347" t="s">
        <v>698</v>
      </c>
      <c r="E154" s="355" t="s">
        <v>1391</v>
      </c>
      <c r="F154" s="347"/>
    </row>
    <row r="155" spans="1:6" x14ac:dyDescent="0.2">
      <c r="A155" s="347" t="s">
        <v>1411</v>
      </c>
      <c r="B155" s="347" t="s">
        <v>1348</v>
      </c>
      <c r="C155" s="347" t="s">
        <v>1412</v>
      </c>
      <c r="D155" s="347" t="s">
        <v>698</v>
      </c>
      <c r="E155" s="355" t="s">
        <v>1391</v>
      </c>
      <c r="F155" s="347"/>
    </row>
    <row r="156" spans="1:6" x14ac:dyDescent="0.2">
      <c r="A156" s="347" t="s">
        <v>1148</v>
      </c>
      <c r="B156" s="347" t="s">
        <v>1119</v>
      </c>
      <c r="C156" s="347" t="s">
        <v>1120</v>
      </c>
      <c r="D156" s="347" t="s">
        <v>698</v>
      </c>
      <c r="E156" s="355" t="s">
        <v>1391</v>
      </c>
      <c r="F156" s="347"/>
    </row>
    <row r="157" spans="1:6" x14ac:dyDescent="0.2">
      <c r="A157" s="347" t="s">
        <v>1148</v>
      </c>
      <c r="B157" s="347" t="s">
        <v>1281</v>
      </c>
      <c r="C157" s="347" t="s">
        <v>1378</v>
      </c>
      <c r="D157" s="347" t="s">
        <v>698</v>
      </c>
      <c r="E157" s="355" t="s">
        <v>1413</v>
      </c>
      <c r="F157" s="347"/>
    </row>
    <row r="158" spans="1:6" x14ac:dyDescent="0.2">
      <c r="A158" s="347" t="s">
        <v>1148</v>
      </c>
      <c r="B158" s="347" t="s">
        <v>1119</v>
      </c>
      <c r="C158" s="347" t="s">
        <v>155</v>
      </c>
      <c r="D158" s="347" t="s">
        <v>698</v>
      </c>
      <c r="E158" s="355" t="s">
        <v>1413</v>
      </c>
      <c r="F158" s="347"/>
    </row>
    <row r="159" spans="1:6" x14ac:dyDescent="0.2">
      <c r="A159" s="347" t="s">
        <v>1148</v>
      </c>
      <c r="B159" s="347" t="s">
        <v>1119</v>
      </c>
      <c r="C159" s="347" t="s">
        <v>1012</v>
      </c>
      <c r="D159" s="347" t="s">
        <v>698</v>
      </c>
      <c r="E159" s="348">
        <v>46066</v>
      </c>
      <c r="F159" s="347"/>
    </row>
    <row r="160" spans="1:6" x14ac:dyDescent="0.2">
      <c r="A160" s="347" t="s">
        <v>1071</v>
      </c>
      <c r="B160" s="347" t="s">
        <v>1183</v>
      </c>
      <c r="C160" s="347" t="s">
        <v>1414</v>
      </c>
      <c r="D160" s="347" t="s">
        <v>698</v>
      </c>
      <c r="E160" s="348">
        <v>46066</v>
      </c>
      <c r="F160" s="347"/>
    </row>
    <row r="161" spans="1:6" x14ac:dyDescent="0.2">
      <c r="A161" s="347" t="s">
        <v>1148</v>
      </c>
      <c r="B161" s="347" t="s">
        <v>1119</v>
      </c>
      <c r="C161" s="347" t="s">
        <v>885</v>
      </c>
      <c r="D161" s="347" t="s">
        <v>698</v>
      </c>
      <c r="E161" s="355" t="s">
        <v>1415</v>
      </c>
      <c r="F161" s="347"/>
    </row>
    <row r="162" spans="1:6" ht="17.25" customHeight="1" x14ac:dyDescent="0.2">
      <c r="A162" s="346" t="s">
        <v>556</v>
      </c>
      <c r="B162" s="346" t="s">
        <v>556</v>
      </c>
      <c r="C162" s="346" t="s">
        <v>556</v>
      </c>
      <c r="D162" s="346" t="s">
        <v>556</v>
      </c>
      <c r="E162" s="346" t="s">
        <v>556</v>
      </c>
      <c r="F162" s="346" t="s">
        <v>556</v>
      </c>
    </row>
    <row r="163" spans="1:6" x14ac:dyDescent="0.2">
      <c r="A163" s="157" t="s">
        <v>860</v>
      </c>
      <c r="B163" s="157" t="s">
        <v>273</v>
      </c>
      <c r="C163" s="157" t="s">
        <v>1128</v>
      </c>
      <c r="D163" s="157" t="s">
        <v>1316</v>
      </c>
      <c r="E163" s="116" t="s">
        <v>1416</v>
      </c>
      <c r="F163" s="157" t="s">
        <v>360</v>
      </c>
    </row>
    <row r="164" spans="1:6" x14ac:dyDescent="0.2">
      <c r="A164" s="157" t="s">
        <v>860</v>
      </c>
      <c r="B164" s="157" t="s">
        <v>192</v>
      </c>
      <c r="C164" s="157" t="s">
        <v>1248</v>
      </c>
      <c r="D164" s="157" t="s">
        <v>1417</v>
      </c>
      <c r="E164" s="116" t="s">
        <v>1416</v>
      </c>
      <c r="F164" s="157">
        <v>3</v>
      </c>
    </row>
    <row r="165" spans="1:6" x14ac:dyDescent="0.2">
      <c r="A165" s="157" t="s">
        <v>860</v>
      </c>
      <c r="B165" s="157" t="s">
        <v>205</v>
      </c>
      <c r="C165" s="157" t="s">
        <v>1377</v>
      </c>
      <c r="D165" s="157" t="s">
        <v>1418</v>
      </c>
      <c r="E165" s="116" t="s">
        <v>1416</v>
      </c>
      <c r="F165" s="157">
        <v>3</v>
      </c>
    </row>
    <row r="166" spans="1:6" x14ac:dyDescent="0.2">
      <c r="A166" s="157" t="s">
        <v>1096</v>
      </c>
      <c r="B166" s="157" t="s">
        <v>230</v>
      </c>
      <c r="C166" s="157" t="s">
        <v>1262</v>
      </c>
      <c r="D166" s="157" t="s">
        <v>1419</v>
      </c>
      <c r="E166" s="116" t="s">
        <v>1416</v>
      </c>
      <c r="F166" s="157">
        <v>3</v>
      </c>
    </row>
    <row r="167" spans="1:6" x14ac:dyDescent="0.2">
      <c r="A167" s="157" t="s">
        <v>1096</v>
      </c>
      <c r="B167" s="157" t="s">
        <v>205</v>
      </c>
      <c r="C167" s="157" t="s">
        <v>1012</v>
      </c>
      <c r="D167" s="157" t="s">
        <v>1420</v>
      </c>
      <c r="E167" s="116" t="s">
        <v>1416</v>
      </c>
      <c r="F167" s="157">
        <v>3</v>
      </c>
    </row>
    <row r="168" spans="1:6" x14ac:dyDescent="0.2">
      <c r="A168" s="157" t="s">
        <v>860</v>
      </c>
      <c r="B168" s="157" t="s">
        <v>767</v>
      </c>
      <c r="C168" s="157" t="s">
        <v>1365</v>
      </c>
      <c r="D168" s="157" t="s">
        <v>1421</v>
      </c>
      <c r="E168" s="116" t="s">
        <v>1422</v>
      </c>
      <c r="F168" s="157" t="s">
        <v>360</v>
      </c>
    </row>
    <row r="169" spans="1:6" x14ac:dyDescent="0.2">
      <c r="A169" s="157" t="s">
        <v>1063</v>
      </c>
      <c r="B169" s="157" t="s">
        <v>358</v>
      </c>
      <c r="C169" s="157" t="s">
        <v>1383</v>
      </c>
      <c r="D169" s="157" t="s">
        <v>1423</v>
      </c>
      <c r="E169" s="116" t="s">
        <v>1422</v>
      </c>
      <c r="F169" s="157">
        <v>4</v>
      </c>
    </row>
    <row r="170" spans="1:6" x14ac:dyDescent="0.2">
      <c r="A170" s="157" t="s">
        <v>1063</v>
      </c>
      <c r="B170" s="157" t="s">
        <v>293</v>
      </c>
      <c r="C170" s="157" t="s">
        <v>155</v>
      </c>
      <c r="D170" s="157" t="s">
        <v>1424</v>
      </c>
      <c r="E170" s="116" t="s">
        <v>1422</v>
      </c>
      <c r="F170" s="157">
        <v>4</v>
      </c>
    </row>
    <row r="171" spans="1:6" x14ac:dyDescent="0.2">
      <c r="A171" s="157" t="s">
        <v>860</v>
      </c>
      <c r="B171" s="157" t="s">
        <v>358</v>
      </c>
      <c r="C171" s="157" t="s">
        <v>1383</v>
      </c>
      <c r="D171" s="157" t="s">
        <v>1425</v>
      </c>
      <c r="E171" s="116" t="s">
        <v>1422</v>
      </c>
      <c r="F171" s="157">
        <v>4</v>
      </c>
    </row>
    <row r="172" spans="1:6" x14ac:dyDescent="0.2">
      <c r="A172" s="157" t="s">
        <v>1096</v>
      </c>
      <c r="B172" s="157" t="s">
        <v>205</v>
      </c>
      <c r="C172" s="157" t="s">
        <v>1120</v>
      </c>
      <c r="D172" s="157" t="s">
        <v>1426</v>
      </c>
      <c r="E172" s="116" t="s">
        <v>1422</v>
      </c>
      <c r="F172" s="157">
        <v>4</v>
      </c>
    </row>
    <row r="173" spans="1:6" x14ac:dyDescent="0.2">
      <c r="A173" s="157" t="s">
        <v>1096</v>
      </c>
      <c r="B173" s="157" t="s">
        <v>230</v>
      </c>
      <c r="C173" s="157" t="s">
        <v>1398</v>
      </c>
      <c r="D173" s="157" t="s">
        <v>1427</v>
      </c>
      <c r="E173" s="116" t="s">
        <v>1422</v>
      </c>
      <c r="F173" s="157">
        <v>2</v>
      </c>
    </row>
    <row r="174" spans="1:6" x14ac:dyDescent="0.2">
      <c r="A174" s="157" t="s">
        <v>1096</v>
      </c>
      <c r="B174" s="157" t="s">
        <v>205</v>
      </c>
      <c r="C174" s="157" t="s">
        <v>1120</v>
      </c>
      <c r="D174" s="157" t="s">
        <v>1428</v>
      </c>
      <c r="E174" s="116" t="s">
        <v>1422</v>
      </c>
      <c r="F174" s="157" t="s">
        <v>360</v>
      </c>
    </row>
    <row r="175" spans="1:6" x14ac:dyDescent="0.2">
      <c r="A175" s="157" t="s">
        <v>1429</v>
      </c>
      <c r="B175" s="157" t="s">
        <v>390</v>
      </c>
      <c r="C175" s="157" t="s">
        <v>847</v>
      </c>
      <c r="D175" s="157" t="s">
        <v>1430</v>
      </c>
      <c r="E175" s="116" t="s">
        <v>1431</v>
      </c>
      <c r="F175" s="157" t="s">
        <v>360</v>
      </c>
    </row>
    <row r="176" spans="1:6" x14ac:dyDescent="0.2">
      <c r="A176" s="157" t="s">
        <v>1063</v>
      </c>
      <c r="B176" s="157" t="s">
        <v>293</v>
      </c>
      <c r="C176" s="157" t="s">
        <v>155</v>
      </c>
      <c r="D176" s="157" t="s">
        <v>1432</v>
      </c>
      <c r="E176" s="116" t="s">
        <v>1431</v>
      </c>
      <c r="F176" s="157">
        <v>4</v>
      </c>
    </row>
    <row r="177" spans="1:6" x14ac:dyDescent="0.2">
      <c r="A177" s="157" t="s">
        <v>1433</v>
      </c>
      <c r="B177" s="157" t="s">
        <v>230</v>
      </c>
      <c r="C177" s="157" t="s">
        <v>1434</v>
      </c>
      <c r="D177" s="157" t="s">
        <v>1394</v>
      </c>
      <c r="E177" s="116" t="s">
        <v>1431</v>
      </c>
      <c r="F177" s="157">
        <v>4</v>
      </c>
    </row>
    <row r="178" spans="1:6" x14ac:dyDescent="0.2">
      <c r="A178" s="157" t="s">
        <v>1063</v>
      </c>
      <c r="B178" s="157" t="s">
        <v>358</v>
      </c>
      <c r="C178" s="157" t="s">
        <v>1285</v>
      </c>
      <c r="D178" s="157" t="s">
        <v>1435</v>
      </c>
      <c r="E178" s="116" t="s">
        <v>1431</v>
      </c>
      <c r="F178" s="157">
        <v>4</v>
      </c>
    </row>
    <row r="179" spans="1:6" x14ac:dyDescent="0.2">
      <c r="A179" s="157" t="s">
        <v>860</v>
      </c>
      <c r="B179" s="157" t="s">
        <v>930</v>
      </c>
      <c r="C179" s="157" t="s">
        <v>169</v>
      </c>
      <c r="D179" s="157" t="s">
        <v>1436</v>
      </c>
      <c r="E179" s="116" t="s">
        <v>1431</v>
      </c>
      <c r="F179" s="157">
        <v>4</v>
      </c>
    </row>
    <row r="180" spans="1:6" x14ac:dyDescent="0.2">
      <c r="A180" s="157" t="s">
        <v>860</v>
      </c>
      <c r="B180" s="157" t="s">
        <v>273</v>
      </c>
      <c r="C180" s="157" t="s">
        <v>838</v>
      </c>
      <c r="D180" s="157" t="s">
        <v>1437</v>
      </c>
      <c r="E180" s="116" t="s">
        <v>1431</v>
      </c>
      <c r="F180" s="157">
        <v>3</v>
      </c>
    </row>
    <row r="181" spans="1:6" x14ac:dyDescent="0.2">
      <c r="A181" s="157" t="s">
        <v>31</v>
      </c>
      <c r="B181" s="157" t="s">
        <v>1292</v>
      </c>
      <c r="C181" s="157" t="s">
        <v>830</v>
      </c>
      <c r="D181" s="157" t="s">
        <v>1438</v>
      </c>
      <c r="E181" s="116">
        <v>46072</v>
      </c>
      <c r="F181" s="157">
        <v>4</v>
      </c>
    </row>
    <row r="182" spans="1:6" x14ac:dyDescent="0.2">
      <c r="A182" s="157" t="s">
        <v>31</v>
      </c>
      <c r="B182" s="157" t="s">
        <v>1292</v>
      </c>
      <c r="C182" s="157" t="s">
        <v>830</v>
      </c>
      <c r="D182" s="157" t="s">
        <v>1439</v>
      </c>
      <c r="E182" s="116">
        <v>46073</v>
      </c>
      <c r="F182" s="157">
        <v>4</v>
      </c>
    </row>
    <row r="183" spans="1:6" x14ac:dyDescent="0.2">
      <c r="A183" s="157" t="s">
        <v>1063</v>
      </c>
      <c r="B183" s="157" t="s">
        <v>202</v>
      </c>
      <c r="C183" s="157" t="s">
        <v>1150</v>
      </c>
      <c r="D183" s="157" t="s">
        <v>1440</v>
      </c>
      <c r="E183" s="116" t="s">
        <v>1441</v>
      </c>
      <c r="F183" s="157">
        <v>4</v>
      </c>
    </row>
    <row r="184" spans="1:6" x14ac:dyDescent="0.2">
      <c r="A184" s="347" t="s">
        <v>1442</v>
      </c>
      <c r="B184" s="347" t="s">
        <v>1348</v>
      </c>
      <c r="C184" s="347" t="s">
        <v>1443</v>
      </c>
      <c r="D184" s="347" t="s">
        <v>698</v>
      </c>
      <c r="E184" s="348">
        <v>46070</v>
      </c>
      <c r="F184" s="347"/>
    </row>
    <row r="185" spans="1:6" x14ac:dyDescent="0.2">
      <c r="A185" s="347" t="s">
        <v>1444</v>
      </c>
      <c r="B185" s="347" t="s">
        <v>1445</v>
      </c>
      <c r="C185" s="347" t="s">
        <v>1248</v>
      </c>
      <c r="D185" s="347" t="s">
        <v>698</v>
      </c>
      <c r="E185" s="348">
        <v>46070</v>
      </c>
      <c r="F185" s="347"/>
    </row>
    <row r="186" spans="1:6" x14ac:dyDescent="0.2">
      <c r="A186" s="347" t="s">
        <v>1311</v>
      </c>
      <c r="B186" s="347" t="s">
        <v>1264</v>
      </c>
      <c r="C186" s="347" t="s">
        <v>1446</v>
      </c>
      <c r="D186" s="347" t="s">
        <v>698</v>
      </c>
      <c r="E186" s="348">
        <v>46071</v>
      </c>
      <c r="F186" s="347"/>
    </row>
    <row r="187" spans="1:6" x14ac:dyDescent="0.2">
      <c r="A187" s="347" t="s">
        <v>1376</v>
      </c>
      <c r="B187" s="347" t="s">
        <v>1264</v>
      </c>
      <c r="C187" s="347" t="s">
        <v>1447</v>
      </c>
      <c r="D187" s="347" t="s">
        <v>698</v>
      </c>
      <c r="E187" s="348">
        <v>46071</v>
      </c>
      <c r="F187" s="347"/>
    </row>
    <row r="188" spans="1:6" x14ac:dyDescent="0.2">
      <c r="A188" s="347" t="s">
        <v>1071</v>
      </c>
      <c r="B188" s="347" t="s">
        <v>1445</v>
      </c>
      <c r="C188" s="347" t="s">
        <v>643</v>
      </c>
      <c r="D188" s="347" t="s">
        <v>698</v>
      </c>
      <c r="E188" s="348">
        <v>46071</v>
      </c>
      <c r="F188" s="347"/>
    </row>
    <row r="189" spans="1:6" x14ac:dyDescent="0.2">
      <c r="A189" s="347" t="s">
        <v>1071</v>
      </c>
      <c r="B189" s="347" t="s">
        <v>1445</v>
      </c>
      <c r="C189" s="347" t="s">
        <v>1150</v>
      </c>
      <c r="D189" s="347" t="s">
        <v>698</v>
      </c>
      <c r="E189" s="348">
        <v>46072</v>
      </c>
      <c r="F189" s="347"/>
    </row>
    <row r="190" spans="1:6" x14ac:dyDescent="0.2">
      <c r="A190" s="347" t="s">
        <v>1071</v>
      </c>
      <c r="B190" s="347" t="s">
        <v>1281</v>
      </c>
      <c r="C190" s="347" t="s">
        <v>1120</v>
      </c>
      <c r="D190" s="347" t="s">
        <v>698</v>
      </c>
      <c r="E190" s="348">
        <v>46072</v>
      </c>
      <c r="F190" s="347"/>
    </row>
    <row r="191" spans="1:6" x14ac:dyDescent="0.2">
      <c r="A191" s="347" t="s">
        <v>1116</v>
      </c>
      <c r="B191" s="347" t="s">
        <v>1281</v>
      </c>
      <c r="C191" s="347" t="s">
        <v>1414</v>
      </c>
      <c r="D191" s="347" t="s">
        <v>698</v>
      </c>
      <c r="E191" s="348">
        <v>46073</v>
      </c>
      <c r="F191" s="347"/>
    </row>
    <row r="192" spans="1:6" x14ac:dyDescent="0.2">
      <c r="A192" s="347" t="s">
        <v>1071</v>
      </c>
      <c r="B192" s="347" t="s">
        <v>1445</v>
      </c>
      <c r="C192" s="347" t="s">
        <v>1285</v>
      </c>
      <c r="D192" s="347" t="s">
        <v>698</v>
      </c>
      <c r="E192" s="348">
        <v>46073</v>
      </c>
      <c r="F192" s="347"/>
    </row>
    <row r="193" spans="1:6" x14ac:dyDescent="0.2">
      <c r="A193" s="346" t="s">
        <v>575</v>
      </c>
      <c r="B193" s="346" t="s">
        <v>575</v>
      </c>
      <c r="C193" s="346" t="s">
        <v>575</v>
      </c>
      <c r="D193" s="346" t="s">
        <v>575</v>
      </c>
      <c r="E193" s="346" t="s">
        <v>575</v>
      </c>
      <c r="F193" s="346" t="s">
        <v>575</v>
      </c>
    </row>
    <row r="194" spans="1:6" x14ac:dyDescent="0.2">
      <c r="A194" s="157" t="s">
        <v>31</v>
      </c>
      <c r="B194" s="157" t="s">
        <v>205</v>
      </c>
      <c r="C194" s="157" t="s">
        <v>1120</v>
      </c>
      <c r="D194" s="157" t="s">
        <v>1448</v>
      </c>
      <c r="E194" s="116">
        <v>46076</v>
      </c>
      <c r="F194" s="157">
        <v>4</v>
      </c>
    </row>
    <row r="195" spans="1:6" x14ac:dyDescent="0.2">
      <c r="A195" s="157" t="s">
        <v>1063</v>
      </c>
      <c r="B195" s="157" t="s">
        <v>202</v>
      </c>
      <c r="C195" s="157" t="s">
        <v>155</v>
      </c>
      <c r="D195" s="157" t="s">
        <v>1449</v>
      </c>
      <c r="E195" s="157" t="s">
        <v>1450</v>
      </c>
      <c r="F195" s="157">
        <v>4</v>
      </c>
    </row>
    <row r="196" spans="1:6" x14ac:dyDescent="0.2">
      <c r="A196" s="157" t="s">
        <v>1096</v>
      </c>
      <c r="B196" s="157" t="s">
        <v>205</v>
      </c>
      <c r="C196" s="157" t="s">
        <v>1107</v>
      </c>
      <c r="D196" s="157" t="s">
        <v>1451</v>
      </c>
      <c r="E196" s="157" t="s">
        <v>1450</v>
      </c>
      <c r="F196" s="157">
        <v>4</v>
      </c>
    </row>
    <row r="197" spans="1:6" x14ac:dyDescent="0.2">
      <c r="A197" s="157" t="s">
        <v>1096</v>
      </c>
      <c r="B197" s="157" t="s">
        <v>205</v>
      </c>
      <c r="C197" s="157" t="s">
        <v>1398</v>
      </c>
      <c r="D197" s="157" t="s">
        <v>1452</v>
      </c>
      <c r="E197" s="157" t="s">
        <v>1450</v>
      </c>
      <c r="F197" s="157">
        <v>3</v>
      </c>
    </row>
    <row r="198" spans="1:6" x14ac:dyDescent="0.2">
      <c r="A198" s="157" t="s">
        <v>31</v>
      </c>
      <c r="B198" s="157" t="s">
        <v>358</v>
      </c>
      <c r="C198" s="157" t="s">
        <v>1211</v>
      </c>
      <c r="D198" s="157" t="s">
        <v>1453</v>
      </c>
      <c r="E198" s="116">
        <v>46077</v>
      </c>
      <c r="F198" s="157">
        <v>3</v>
      </c>
    </row>
    <row r="199" spans="1:6" x14ac:dyDescent="0.2">
      <c r="A199" s="157" t="s">
        <v>1063</v>
      </c>
      <c r="B199" s="157" t="s">
        <v>192</v>
      </c>
      <c r="C199" s="157" t="s">
        <v>885</v>
      </c>
      <c r="D199" s="157" t="s">
        <v>1454</v>
      </c>
      <c r="E199" s="157" t="s">
        <v>1455</v>
      </c>
      <c r="F199" s="157" t="s">
        <v>360</v>
      </c>
    </row>
    <row r="200" spans="1:6" x14ac:dyDescent="0.2">
      <c r="A200" s="157" t="s">
        <v>860</v>
      </c>
      <c r="B200" s="157" t="s">
        <v>192</v>
      </c>
      <c r="C200" s="157" t="s">
        <v>1248</v>
      </c>
      <c r="D200" s="157" t="s">
        <v>1456</v>
      </c>
      <c r="E200" s="157" t="s">
        <v>1455</v>
      </c>
      <c r="F200" s="157">
        <v>4</v>
      </c>
    </row>
    <row r="201" spans="1:6" x14ac:dyDescent="0.2">
      <c r="A201" s="157" t="s">
        <v>860</v>
      </c>
      <c r="B201" s="157" t="s">
        <v>1457</v>
      </c>
      <c r="C201" s="157" t="s">
        <v>1365</v>
      </c>
      <c r="D201" s="157" t="s">
        <v>1458</v>
      </c>
      <c r="E201" s="157" t="s">
        <v>1455</v>
      </c>
      <c r="F201" s="157" t="s">
        <v>360</v>
      </c>
    </row>
    <row r="202" spans="1:6" x14ac:dyDescent="0.2">
      <c r="A202" s="157" t="s">
        <v>1459</v>
      </c>
      <c r="B202" s="157" t="s">
        <v>353</v>
      </c>
      <c r="C202" s="157" t="s">
        <v>1460</v>
      </c>
      <c r="D202" s="157" t="s">
        <v>1461</v>
      </c>
      <c r="E202" s="157" t="s">
        <v>1462</v>
      </c>
      <c r="F202" s="157">
        <v>4</v>
      </c>
    </row>
    <row r="203" spans="1:6" x14ac:dyDescent="0.2">
      <c r="A203" s="157" t="s">
        <v>1063</v>
      </c>
      <c r="B203" s="157" t="s">
        <v>390</v>
      </c>
      <c r="C203" s="157" t="s">
        <v>1150</v>
      </c>
      <c r="D203" s="157" t="s">
        <v>1463</v>
      </c>
      <c r="E203" s="157" t="s">
        <v>1462</v>
      </c>
      <c r="F203" s="157">
        <v>4</v>
      </c>
    </row>
    <row r="204" spans="1:6" x14ac:dyDescent="0.2">
      <c r="A204" s="157" t="s">
        <v>1063</v>
      </c>
      <c r="B204" s="157" t="s">
        <v>205</v>
      </c>
      <c r="C204" s="157" t="s">
        <v>1383</v>
      </c>
      <c r="D204" s="157" t="s">
        <v>1464</v>
      </c>
      <c r="E204" s="157" t="s">
        <v>1462</v>
      </c>
      <c r="F204" s="157">
        <v>4</v>
      </c>
    </row>
    <row r="205" spans="1:6" x14ac:dyDescent="0.2">
      <c r="A205" s="157" t="s">
        <v>860</v>
      </c>
      <c r="B205" s="157" t="s">
        <v>273</v>
      </c>
      <c r="C205" s="157" t="s">
        <v>1128</v>
      </c>
      <c r="D205" s="157" t="s">
        <v>1465</v>
      </c>
      <c r="E205" s="157" t="s">
        <v>1462</v>
      </c>
      <c r="F205" s="157" t="s">
        <v>360</v>
      </c>
    </row>
    <row r="206" spans="1:6" x14ac:dyDescent="0.2">
      <c r="A206" s="157" t="s">
        <v>860</v>
      </c>
      <c r="B206" s="157" t="s">
        <v>767</v>
      </c>
      <c r="C206" s="157" t="s">
        <v>1392</v>
      </c>
      <c r="D206" s="157" t="s">
        <v>1466</v>
      </c>
      <c r="E206" s="157" t="s">
        <v>1462</v>
      </c>
      <c r="F206" s="157">
        <v>4</v>
      </c>
    </row>
    <row r="207" spans="1:6" x14ac:dyDescent="0.2">
      <c r="A207" s="157" t="s">
        <v>860</v>
      </c>
      <c r="B207" s="157" t="s">
        <v>230</v>
      </c>
      <c r="C207" s="157" t="s">
        <v>1365</v>
      </c>
      <c r="D207" s="157" t="s">
        <v>1467</v>
      </c>
      <c r="E207" s="157" t="s">
        <v>1462</v>
      </c>
      <c r="F207" s="157" t="s">
        <v>360</v>
      </c>
    </row>
    <row r="208" spans="1:6" x14ac:dyDescent="0.2">
      <c r="A208" s="157" t="s">
        <v>860</v>
      </c>
      <c r="B208" s="157" t="s">
        <v>192</v>
      </c>
      <c r="C208" s="157" t="s">
        <v>1468</v>
      </c>
      <c r="D208" s="157" t="s">
        <v>1469</v>
      </c>
      <c r="E208" s="157" t="s">
        <v>1462</v>
      </c>
      <c r="F208" s="157">
        <v>3</v>
      </c>
    </row>
    <row r="209" spans="1:6" x14ac:dyDescent="0.2">
      <c r="A209" s="157" t="s">
        <v>1096</v>
      </c>
      <c r="B209" s="157" t="s">
        <v>230</v>
      </c>
      <c r="C209" s="157" t="s">
        <v>1012</v>
      </c>
      <c r="D209" s="157" t="s">
        <v>1470</v>
      </c>
      <c r="E209" s="157" t="s">
        <v>1471</v>
      </c>
      <c r="F209" s="157" t="s">
        <v>360</v>
      </c>
    </row>
    <row r="210" spans="1:6" x14ac:dyDescent="0.2">
      <c r="A210" s="157" t="s">
        <v>1063</v>
      </c>
      <c r="B210" s="157" t="s">
        <v>205</v>
      </c>
      <c r="C210" s="157" t="s">
        <v>1150</v>
      </c>
      <c r="D210" s="157" t="s">
        <v>661</v>
      </c>
      <c r="E210" s="157" t="s">
        <v>1471</v>
      </c>
      <c r="F210" s="157">
        <v>4</v>
      </c>
    </row>
    <row r="211" spans="1:6" x14ac:dyDescent="0.2">
      <c r="A211" s="157" t="s">
        <v>1063</v>
      </c>
      <c r="B211" s="157" t="s">
        <v>205</v>
      </c>
      <c r="C211" s="157" t="s">
        <v>155</v>
      </c>
      <c r="D211" s="157" t="s">
        <v>1472</v>
      </c>
      <c r="E211" s="157" t="s">
        <v>1471</v>
      </c>
      <c r="F211" s="157" t="s">
        <v>360</v>
      </c>
    </row>
    <row r="212" spans="1:6" x14ac:dyDescent="0.2">
      <c r="A212" s="157" t="s">
        <v>1063</v>
      </c>
      <c r="B212" s="157" t="s">
        <v>250</v>
      </c>
      <c r="C212" s="157" t="s">
        <v>1383</v>
      </c>
      <c r="D212" s="157" t="s">
        <v>1473</v>
      </c>
      <c r="E212" s="157" t="s">
        <v>1471</v>
      </c>
      <c r="F212" s="157">
        <v>3</v>
      </c>
    </row>
    <row r="213" spans="1:6" x14ac:dyDescent="0.2">
      <c r="A213" s="157" t="s">
        <v>860</v>
      </c>
      <c r="B213" s="157" t="s">
        <v>205</v>
      </c>
      <c r="C213" s="157" t="s">
        <v>1128</v>
      </c>
      <c r="D213" s="157" t="s">
        <v>1474</v>
      </c>
      <c r="E213" s="157" t="s">
        <v>1471</v>
      </c>
      <c r="F213" s="157" t="s">
        <v>360</v>
      </c>
    </row>
    <row r="214" spans="1:6" x14ac:dyDescent="0.2">
      <c r="A214" s="157" t="s">
        <v>860</v>
      </c>
      <c r="B214" s="157" t="s">
        <v>1457</v>
      </c>
      <c r="C214" s="157" t="s">
        <v>1365</v>
      </c>
      <c r="D214" s="157" t="s">
        <v>1475</v>
      </c>
      <c r="E214" s="157" t="s">
        <v>1471</v>
      </c>
      <c r="F214" s="157" t="s">
        <v>360</v>
      </c>
    </row>
    <row r="215" spans="1:6" x14ac:dyDescent="0.2">
      <c r="A215" s="157" t="s">
        <v>860</v>
      </c>
      <c r="B215" s="157" t="s">
        <v>192</v>
      </c>
      <c r="C215" s="157" t="s">
        <v>1248</v>
      </c>
      <c r="D215" s="157" t="s">
        <v>1476</v>
      </c>
      <c r="E215" s="157" t="s">
        <v>1477</v>
      </c>
      <c r="F215" s="157">
        <v>3</v>
      </c>
    </row>
    <row r="216" spans="1:6" x14ac:dyDescent="0.2">
      <c r="A216" s="347" t="s">
        <v>1478</v>
      </c>
      <c r="B216" s="347" t="s">
        <v>1117</v>
      </c>
      <c r="C216" s="347" t="s">
        <v>1377</v>
      </c>
      <c r="D216" s="347" t="s">
        <v>698</v>
      </c>
      <c r="E216" s="348">
        <v>46076</v>
      </c>
      <c r="F216" s="347"/>
    </row>
    <row r="217" spans="1:6" x14ac:dyDescent="0.2">
      <c r="A217" s="347" t="s">
        <v>1116</v>
      </c>
      <c r="B217" s="347" t="s">
        <v>1479</v>
      </c>
      <c r="C217" s="347" t="s">
        <v>1262</v>
      </c>
      <c r="D217" s="347" t="s">
        <v>695</v>
      </c>
      <c r="E217" s="348">
        <v>46077</v>
      </c>
      <c r="F217" s="347"/>
    </row>
    <row r="218" spans="1:6" x14ac:dyDescent="0.2">
      <c r="A218" s="347" t="s">
        <v>1148</v>
      </c>
      <c r="B218" s="347" t="s">
        <v>1479</v>
      </c>
      <c r="C218" s="347" t="s">
        <v>1211</v>
      </c>
      <c r="D218" s="347" t="s">
        <v>695</v>
      </c>
      <c r="E218" s="348">
        <v>46077</v>
      </c>
      <c r="F218" s="347"/>
    </row>
    <row r="219" spans="1:6" x14ac:dyDescent="0.2">
      <c r="A219" s="347" t="s">
        <v>1148</v>
      </c>
      <c r="B219" s="347" t="s">
        <v>1479</v>
      </c>
      <c r="C219" s="347" t="s">
        <v>1378</v>
      </c>
      <c r="D219" s="347" t="s">
        <v>695</v>
      </c>
      <c r="E219" s="348">
        <v>46078</v>
      </c>
      <c r="F219" s="347"/>
    </row>
    <row r="220" spans="1:6" x14ac:dyDescent="0.2">
      <c r="A220" s="347" t="s">
        <v>1148</v>
      </c>
      <c r="B220" s="347" t="s">
        <v>1479</v>
      </c>
      <c r="C220" s="347" t="s">
        <v>1398</v>
      </c>
      <c r="D220" s="347" t="s">
        <v>695</v>
      </c>
      <c r="E220" s="348">
        <v>46078</v>
      </c>
      <c r="F220" s="347"/>
    </row>
    <row r="221" spans="1:6" x14ac:dyDescent="0.2">
      <c r="A221" s="347" t="s">
        <v>1116</v>
      </c>
      <c r="B221" s="347" t="s">
        <v>1479</v>
      </c>
      <c r="C221" s="347" t="s">
        <v>1120</v>
      </c>
      <c r="D221" s="347" t="s">
        <v>695</v>
      </c>
      <c r="E221" s="348">
        <v>46078</v>
      </c>
      <c r="F221" s="347"/>
    </row>
    <row r="222" spans="1:6" x14ac:dyDescent="0.2">
      <c r="A222" s="347" t="s">
        <v>1376</v>
      </c>
      <c r="B222" s="347" t="s">
        <v>1281</v>
      </c>
      <c r="C222" s="347" t="s">
        <v>1447</v>
      </c>
      <c r="D222" s="347" t="s">
        <v>698</v>
      </c>
      <c r="E222" s="348">
        <v>46078</v>
      </c>
      <c r="F222" s="347"/>
    </row>
    <row r="223" spans="1:6" x14ac:dyDescent="0.2">
      <c r="A223" s="347" t="s">
        <v>1071</v>
      </c>
      <c r="B223" s="347" t="s">
        <v>1183</v>
      </c>
      <c r="C223" s="347" t="s">
        <v>1377</v>
      </c>
      <c r="D223" s="347" t="s">
        <v>698</v>
      </c>
      <c r="E223" s="348">
        <v>46079</v>
      </c>
      <c r="F223" s="347"/>
    </row>
    <row r="224" spans="1:6" x14ac:dyDescent="0.2">
      <c r="A224" s="347" t="s">
        <v>1071</v>
      </c>
      <c r="B224" s="347" t="s">
        <v>1479</v>
      </c>
      <c r="C224" s="347" t="s">
        <v>1480</v>
      </c>
      <c r="D224" s="347" t="s">
        <v>698</v>
      </c>
      <c r="E224" s="348">
        <v>46079</v>
      </c>
      <c r="F224" s="347"/>
    </row>
    <row r="225" spans="1:6" x14ac:dyDescent="0.2">
      <c r="A225" s="347" t="s">
        <v>1481</v>
      </c>
      <c r="B225" s="347" t="s">
        <v>1117</v>
      </c>
      <c r="C225" s="347" t="s">
        <v>1446</v>
      </c>
      <c r="D225" s="347" t="s">
        <v>698</v>
      </c>
      <c r="E225" s="348">
        <v>46079</v>
      </c>
      <c r="F225" s="347"/>
    </row>
    <row r="226" spans="1:6" x14ac:dyDescent="0.2">
      <c r="A226" s="347" t="s">
        <v>1148</v>
      </c>
      <c r="B226" s="347" t="s">
        <v>1482</v>
      </c>
      <c r="C226" s="347" t="s">
        <v>1012</v>
      </c>
      <c r="D226" s="347" t="s">
        <v>698</v>
      </c>
      <c r="E226" s="348">
        <v>46080</v>
      </c>
      <c r="F226" s="347"/>
    </row>
    <row r="227" spans="1:6" x14ac:dyDescent="0.2">
      <c r="A227" s="346" t="s">
        <v>595</v>
      </c>
      <c r="B227" s="346" t="s">
        <v>595</v>
      </c>
      <c r="C227" s="346" t="s">
        <v>595</v>
      </c>
      <c r="D227" s="346" t="s">
        <v>595</v>
      </c>
      <c r="E227" s="346" t="s">
        <v>595</v>
      </c>
      <c r="F227" s="346" t="s">
        <v>595</v>
      </c>
    </row>
    <row r="228" spans="1:6" x14ac:dyDescent="0.2">
      <c r="A228" s="157" t="s">
        <v>1063</v>
      </c>
      <c r="B228" s="157" t="s">
        <v>358</v>
      </c>
      <c r="C228" s="157" t="s">
        <v>1150</v>
      </c>
      <c r="D228" s="157" t="s">
        <v>1483</v>
      </c>
      <c r="E228" s="357">
        <v>46083</v>
      </c>
      <c r="F228" s="157">
        <v>4</v>
      </c>
    </row>
    <row r="229" spans="1:6" x14ac:dyDescent="0.2">
      <c r="A229" s="157" t="s">
        <v>860</v>
      </c>
      <c r="B229" s="157" t="s">
        <v>1484</v>
      </c>
      <c r="C229" s="157" t="s">
        <v>1365</v>
      </c>
      <c r="D229" s="157" t="s">
        <v>1485</v>
      </c>
      <c r="E229" s="357">
        <v>46083</v>
      </c>
      <c r="F229" s="157" t="s">
        <v>360</v>
      </c>
    </row>
    <row r="230" spans="1:6" x14ac:dyDescent="0.2">
      <c r="A230" s="157" t="s">
        <v>1096</v>
      </c>
      <c r="B230" s="157" t="s">
        <v>205</v>
      </c>
      <c r="C230" s="157" t="s">
        <v>1120</v>
      </c>
      <c r="D230" s="157" t="s">
        <v>1486</v>
      </c>
      <c r="E230" s="357">
        <v>46084</v>
      </c>
      <c r="F230" s="157" t="s">
        <v>360</v>
      </c>
    </row>
    <row r="231" spans="1:6" x14ac:dyDescent="0.2">
      <c r="A231" s="157" t="s">
        <v>1063</v>
      </c>
      <c r="B231" s="157" t="s">
        <v>205</v>
      </c>
      <c r="C231" s="157" t="s">
        <v>1150</v>
      </c>
      <c r="D231" s="157" t="s">
        <v>1487</v>
      </c>
      <c r="E231" s="357">
        <v>46084</v>
      </c>
      <c r="F231" s="157">
        <v>4</v>
      </c>
    </row>
    <row r="232" spans="1:6" x14ac:dyDescent="0.2">
      <c r="A232" s="157" t="s">
        <v>1063</v>
      </c>
      <c r="B232" s="157" t="s">
        <v>192</v>
      </c>
      <c r="C232" s="157" t="s">
        <v>885</v>
      </c>
      <c r="D232" s="157" t="s">
        <v>1488</v>
      </c>
      <c r="E232" s="357">
        <v>46084</v>
      </c>
      <c r="F232" s="157" t="s">
        <v>360</v>
      </c>
    </row>
    <row r="233" spans="1:6" x14ac:dyDescent="0.2">
      <c r="A233" s="157" t="s">
        <v>860</v>
      </c>
      <c r="B233" s="157" t="s">
        <v>358</v>
      </c>
      <c r="C233" s="157" t="s">
        <v>1489</v>
      </c>
      <c r="D233" s="157" t="s">
        <v>862</v>
      </c>
      <c r="E233" s="357">
        <v>46084</v>
      </c>
      <c r="F233" s="157">
        <v>3</v>
      </c>
    </row>
    <row r="234" spans="1:6" x14ac:dyDescent="0.2">
      <c r="A234" s="157" t="s">
        <v>860</v>
      </c>
      <c r="B234" s="157" t="s">
        <v>192</v>
      </c>
      <c r="C234" s="157" t="s">
        <v>1447</v>
      </c>
      <c r="D234" s="157" t="s">
        <v>1490</v>
      </c>
      <c r="E234" s="357">
        <v>46084</v>
      </c>
      <c r="F234" s="157">
        <v>4</v>
      </c>
    </row>
    <row r="235" spans="1:6" x14ac:dyDescent="0.2">
      <c r="A235" s="157" t="s">
        <v>860</v>
      </c>
      <c r="B235" s="157" t="s">
        <v>529</v>
      </c>
      <c r="C235" s="157" t="s">
        <v>169</v>
      </c>
      <c r="D235" s="157" t="s">
        <v>1491</v>
      </c>
      <c r="E235" s="357">
        <v>46084</v>
      </c>
      <c r="F235" s="157" t="s">
        <v>360</v>
      </c>
    </row>
    <row r="236" spans="1:6" x14ac:dyDescent="0.2">
      <c r="A236" s="157" t="s">
        <v>1096</v>
      </c>
      <c r="B236" s="157" t="s">
        <v>205</v>
      </c>
      <c r="C236" s="157" t="s">
        <v>1262</v>
      </c>
      <c r="D236" s="157" t="s">
        <v>828</v>
      </c>
      <c r="E236" s="357">
        <v>46085</v>
      </c>
      <c r="F236" s="157">
        <v>2</v>
      </c>
    </row>
    <row r="237" spans="1:6" x14ac:dyDescent="0.2">
      <c r="A237" s="157" t="s">
        <v>1063</v>
      </c>
      <c r="B237" s="157" t="s">
        <v>213</v>
      </c>
      <c r="C237" s="157" t="s">
        <v>155</v>
      </c>
      <c r="D237" s="157" t="s">
        <v>1492</v>
      </c>
      <c r="E237" s="357">
        <v>46085</v>
      </c>
      <c r="F237" s="157" t="s">
        <v>360</v>
      </c>
    </row>
    <row r="238" spans="1:6" x14ac:dyDescent="0.2">
      <c r="A238" s="157" t="s">
        <v>1459</v>
      </c>
      <c r="B238" s="157" t="s">
        <v>358</v>
      </c>
      <c r="C238" s="157" t="s">
        <v>1460</v>
      </c>
      <c r="D238" s="157" t="s">
        <v>1493</v>
      </c>
      <c r="E238" s="357">
        <v>46085</v>
      </c>
      <c r="F238" s="157" t="s">
        <v>360</v>
      </c>
    </row>
    <row r="239" spans="1:6" x14ac:dyDescent="0.2">
      <c r="A239" s="157" t="s">
        <v>860</v>
      </c>
      <c r="B239" s="157" t="s">
        <v>383</v>
      </c>
      <c r="C239" s="157" t="s">
        <v>1494</v>
      </c>
      <c r="D239" s="157" t="s">
        <v>1495</v>
      </c>
      <c r="E239" s="357">
        <v>46085</v>
      </c>
      <c r="F239" s="157">
        <v>3</v>
      </c>
    </row>
    <row r="240" spans="1:6" x14ac:dyDescent="0.2">
      <c r="A240" s="157" t="s">
        <v>860</v>
      </c>
      <c r="B240" s="157" t="s">
        <v>767</v>
      </c>
      <c r="C240" s="157" t="s">
        <v>1365</v>
      </c>
      <c r="D240" s="157" t="s">
        <v>1496</v>
      </c>
      <c r="E240" s="357">
        <v>46085</v>
      </c>
      <c r="F240" s="157" t="s">
        <v>360</v>
      </c>
    </row>
    <row r="241" spans="1:6" x14ac:dyDescent="0.2">
      <c r="A241" s="157" t="s">
        <v>31</v>
      </c>
      <c r="B241" s="157" t="s">
        <v>288</v>
      </c>
      <c r="C241" s="157" t="s">
        <v>1480</v>
      </c>
      <c r="D241" s="157" t="s">
        <v>1497</v>
      </c>
      <c r="E241" s="357">
        <v>46085</v>
      </c>
      <c r="F241" s="157">
        <v>4</v>
      </c>
    </row>
    <row r="242" spans="1:6" x14ac:dyDescent="0.2">
      <c r="A242" s="157" t="s">
        <v>1096</v>
      </c>
      <c r="B242" s="157" t="s">
        <v>205</v>
      </c>
      <c r="C242" s="157" t="s">
        <v>1262</v>
      </c>
      <c r="D242" s="157" t="s">
        <v>1498</v>
      </c>
      <c r="E242" s="357">
        <v>46086</v>
      </c>
      <c r="F242" s="157">
        <v>4</v>
      </c>
    </row>
    <row r="243" spans="1:6" x14ac:dyDescent="0.2">
      <c r="A243" s="157" t="s">
        <v>1063</v>
      </c>
      <c r="B243" s="157" t="s">
        <v>250</v>
      </c>
      <c r="C243" s="157" t="s">
        <v>1383</v>
      </c>
      <c r="D243" s="157" t="s">
        <v>1499</v>
      </c>
      <c r="E243" s="357">
        <v>46086</v>
      </c>
      <c r="F243" s="157">
        <v>4</v>
      </c>
    </row>
    <row r="244" spans="1:6" x14ac:dyDescent="0.2">
      <c r="A244" s="157" t="s">
        <v>1063</v>
      </c>
      <c r="B244" s="157" t="s">
        <v>202</v>
      </c>
      <c r="C244" s="157" t="s">
        <v>1285</v>
      </c>
      <c r="D244" s="157" t="s">
        <v>1500</v>
      </c>
      <c r="E244" s="357">
        <v>46086</v>
      </c>
      <c r="F244" s="157">
        <v>4</v>
      </c>
    </row>
    <row r="245" spans="1:6" x14ac:dyDescent="0.2">
      <c r="A245" s="157" t="s">
        <v>31</v>
      </c>
      <c r="B245" s="157" t="s">
        <v>1292</v>
      </c>
      <c r="C245" s="157" t="s">
        <v>830</v>
      </c>
      <c r="D245" s="157" t="s">
        <v>1501</v>
      </c>
      <c r="E245" s="357">
        <v>46086</v>
      </c>
      <c r="F245" s="157" t="s">
        <v>360</v>
      </c>
    </row>
    <row r="246" spans="1:6" x14ac:dyDescent="0.2">
      <c r="A246" s="157" t="s">
        <v>860</v>
      </c>
      <c r="B246" s="157" t="s">
        <v>1457</v>
      </c>
      <c r="C246" s="157" t="s">
        <v>1365</v>
      </c>
      <c r="D246" s="157" t="s">
        <v>1458</v>
      </c>
      <c r="E246" s="357">
        <v>46086</v>
      </c>
      <c r="F246" s="157">
        <v>4</v>
      </c>
    </row>
    <row r="247" spans="1:6" x14ac:dyDescent="0.2">
      <c r="A247" s="157" t="s">
        <v>1063</v>
      </c>
      <c r="B247" s="157" t="s">
        <v>192</v>
      </c>
      <c r="C247" s="157" t="s">
        <v>1248</v>
      </c>
      <c r="D247" s="157" t="s">
        <v>1502</v>
      </c>
      <c r="E247" s="357">
        <v>46087</v>
      </c>
      <c r="F247" s="157">
        <v>3</v>
      </c>
    </row>
    <row r="248" spans="1:6" x14ac:dyDescent="0.2">
      <c r="A248" s="157" t="s">
        <v>31</v>
      </c>
      <c r="B248" s="157" t="s">
        <v>751</v>
      </c>
      <c r="C248" s="157" t="s">
        <v>838</v>
      </c>
      <c r="D248" s="157" t="s">
        <v>1503</v>
      </c>
      <c r="E248" s="357">
        <v>46087</v>
      </c>
      <c r="F248" s="157">
        <v>4</v>
      </c>
    </row>
    <row r="249" spans="1:6" x14ac:dyDescent="0.2">
      <c r="A249" s="347" t="s">
        <v>1376</v>
      </c>
      <c r="B249" s="347" t="s">
        <v>1479</v>
      </c>
      <c r="C249" s="347" t="s">
        <v>838</v>
      </c>
      <c r="D249" s="347" t="s">
        <v>698</v>
      </c>
      <c r="E249" s="348">
        <v>46084</v>
      </c>
      <c r="F249" s="347"/>
    </row>
    <row r="250" spans="1:6" x14ac:dyDescent="0.2">
      <c r="A250" s="347" t="s">
        <v>1148</v>
      </c>
      <c r="B250" s="347" t="s">
        <v>1482</v>
      </c>
      <c r="C250" s="347" t="s">
        <v>830</v>
      </c>
      <c r="D250" s="347" t="s">
        <v>698</v>
      </c>
      <c r="E250" s="348">
        <v>46085</v>
      </c>
      <c r="F250" s="347"/>
    </row>
    <row r="251" spans="1:6" x14ac:dyDescent="0.2">
      <c r="A251" s="347" t="s">
        <v>1504</v>
      </c>
      <c r="B251" s="347" t="s">
        <v>1264</v>
      </c>
      <c r="C251" s="347" t="s">
        <v>1505</v>
      </c>
      <c r="D251" s="347" t="s">
        <v>698</v>
      </c>
      <c r="E251" s="348">
        <v>46085</v>
      </c>
      <c r="F251" s="347"/>
    </row>
    <row r="252" spans="1:6" x14ac:dyDescent="0.2">
      <c r="A252" s="347" t="s">
        <v>1071</v>
      </c>
      <c r="B252" s="347" t="s">
        <v>1178</v>
      </c>
      <c r="C252" s="347" t="s">
        <v>155</v>
      </c>
      <c r="D252" s="347" t="s">
        <v>698</v>
      </c>
      <c r="E252" s="348">
        <v>46086</v>
      </c>
      <c r="F252" s="347"/>
    </row>
    <row r="253" spans="1:6" x14ac:dyDescent="0.2">
      <c r="A253" s="347" t="s">
        <v>1376</v>
      </c>
      <c r="B253" s="347" t="s">
        <v>1264</v>
      </c>
      <c r="C253" s="347" t="s">
        <v>1506</v>
      </c>
      <c r="D253" s="347" t="s">
        <v>698</v>
      </c>
      <c r="E253" s="348">
        <v>46086</v>
      </c>
      <c r="F253" s="347"/>
    </row>
    <row r="254" spans="1:6" x14ac:dyDescent="0.2">
      <c r="A254" s="347" t="s">
        <v>1071</v>
      </c>
      <c r="B254" s="347" t="s">
        <v>1178</v>
      </c>
      <c r="C254" s="347" t="s">
        <v>1248</v>
      </c>
      <c r="D254" s="347" t="s">
        <v>698</v>
      </c>
      <c r="E254" s="348">
        <v>46087</v>
      </c>
      <c r="F254" s="347"/>
    </row>
    <row r="255" spans="1:6" x14ac:dyDescent="0.2">
      <c r="A255" s="347" t="s">
        <v>1507</v>
      </c>
      <c r="B255" s="347" t="s">
        <v>1178</v>
      </c>
      <c r="C255" s="347" t="s">
        <v>1508</v>
      </c>
      <c r="D255" s="347" t="s">
        <v>698</v>
      </c>
      <c r="E255" s="348">
        <v>46087</v>
      </c>
      <c r="F255" s="347"/>
    </row>
    <row r="256" spans="1:6" x14ac:dyDescent="0.2">
      <c r="A256" s="346" t="s">
        <v>610</v>
      </c>
      <c r="B256" s="346" t="s">
        <v>610</v>
      </c>
      <c r="C256" s="346" t="s">
        <v>610</v>
      </c>
      <c r="D256" s="346" t="s">
        <v>610</v>
      </c>
      <c r="E256" s="346" t="s">
        <v>610</v>
      </c>
      <c r="F256" s="346" t="s">
        <v>610</v>
      </c>
    </row>
    <row r="257" spans="1:6" x14ac:dyDescent="0.2">
      <c r="A257" s="157" t="s">
        <v>860</v>
      </c>
      <c r="B257" s="157" t="s">
        <v>192</v>
      </c>
      <c r="C257" s="157" t="s">
        <v>1447</v>
      </c>
      <c r="D257" s="157" t="s">
        <v>1509</v>
      </c>
      <c r="E257" s="357">
        <v>46090</v>
      </c>
      <c r="F257" s="157">
        <v>3</v>
      </c>
    </row>
    <row r="258" spans="1:6" x14ac:dyDescent="0.2">
      <c r="A258" s="157" t="s">
        <v>860</v>
      </c>
      <c r="B258" s="157" t="s">
        <v>383</v>
      </c>
      <c r="C258" s="157" t="s">
        <v>1447</v>
      </c>
      <c r="D258" s="157" t="s">
        <v>1510</v>
      </c>
      <c r="E258" s="357">
        <v>46090</v>
      </c>
      <c r="F258" s="157">
        <v>4</v>
      </c>
    </row>
    <row r="259" spans="1:6" x14ac:dyDescent="0.2">
      <c r="A259" s="157" t="s">
        <v>860</v>
      </c>
      <c r="B259" s="157" t="s">
        <v>192</v>
      </c>
      <c r="C259" s="157" t="s">
        <v>1248</v>
      </c>
      <c r="D259" s="157" t="s">
        <v>1511</v>
      </c>
      <c r="E259" s="357">
        <v>46090</v>
      </c>
      <c r="F259" s="157">
        <v>4</v>
      </c>
    </row>
    <row r="260" spans="1:6" x14ac:dyDescent="0.2">
      <c r="A260" s="157" t="s">
        <v>860</v>
      </c>
      <c r="B260" s="157" t="s">
        <v>250</v>
      </c>
      <c r="C260" s="157" t="s">
        <v>1489</v>
      </c>
      <c r="D260" s="157" t="s">
        <v>1512</v>
      </c>
      <c r="E260" s="357">
        <v>46090</v>
      </c>
      <c r="F260" s="157">
        <v>3</v>
      </c>
    </row>
    <row r="261" spans="1:6" x14ac:dyDescent="0.2">
      <c r="A261" s="157" t="s">
        <v>1063</v>
      </c>
      <c r="B261" s="157" t="s">
        <v>213</v>
      </c>
      <c r="C261" s="157" t="s">
        <v>155</v>
      </c>
      <c r="D261" s="157" t="s">
        <v>1513</v>
      </c>
      <c r="E261" s="357">
        <v>46090</v>
      </c>
      <c r="F261" s="157">
        <v>3</v>
      </c>
    </row>
    <row r="262" spans="1:6" x14ac:dyDescent="0.2">
      <c r="A262" s="157" t="s">
        <v>1063</v>
      </c>
      <c r="B262" s="157" t="s">
        <v>358</v>
      </c>
      <c r="C262" s="157" t="s">
        <v>1150</v>
      </c>
      <c r="D262" s="157" t="s">
        <v>1514</v>
      </c>
      <c r="E262" s="357">
        <v>46090</v>
      </c>
      <c r="F262" s="157">
        <v>4</v>
      </c>
    </row>
    <row r="263" spans="1:6" x14ac:dyDescent="0.2">
      <c r="A263" s="157" t="s">
        <v>1063</v>
      </c>
      <c r="B263" s="157" t="s">
        <v>358</v>
      </c>
      <c r="C263" s="157" t="s">
        <v>1150</v>
      </c>
      <c r="D263" s="157" t="s">
        <v>1515</v>
      </c>
      <c r="E263" s="357">
        <v>46090</v>
      </c>
      <c r="F263" s="157">
        <v>4</v>
      </c>
    </row>
    <row r="264" spans="1:6" x14ac:dyDescent="0.2">
      <c r="A264" s="157" t="s">
        <v>1459</v>
      </c>
      <c r="B264" s="157" t="s">
        <v>250</v>
      </c>
      <c r="C264" s="157" t="s">
        <v>1377</v>
      </c>
      <c r="D264" s="157" t="s">
        <v>1516</v>
      </c>
      <c r="E264" s="357">
        <v>46090</v>
      </c>
      <c r="F264" s="157">
        <v>3</v>
      </c>
    </row>
    <row r="265" spans="1:6" x14ac:dyDescent="0.2">
      <c r="A265" s="157" t="s">
        <v>1096</v>
      </c>
      <c r="B265" s="157" t="s">
        <v>205</v>
      </c>
      <c r="C265" s="157" t="s">
        <v>1262</v>
      </c>
      <c r="D265" s="157" t="s">
        <v>1517</v>
      </c>
      <c r="E265" s="357">
        <v>46091</v>
      </c>
      <c r="F265" s="157">
        <v>3</v>
      </c>
    </row>
    <row r="266" spans="1:6" x14ac:dyDescent="0.2">
      <c r="A266" s="157" t="s">
        <v>1063</v>
      </c>
      <c r="B266" s="157" t="s">
        <v>213</v>
      </c>
      <c r="C266" s="157" t="s">
        <v>155</v>
      </c>
      <c r="D266" s="157" t="s">
        <v>1518</v>
      </c>
      <c r="E266" s="357">
        <v>46091</v>
      </c>
      <c r="F266" s="157">
        <v>4</v>
      </c>
    </row>
    <row r="267" spans="1:6" x14ac:dyDescent="0.2">
      <c r="A267" s="157" t="s">
        <v>1063</v>
      </c>
      <c r="B267" s="157" t="s">
        <v>192</v>
      </c>
      <c r="C267" s="157" t="s">
        <v>885</v>
      </c>
      <c r="D267" s="157" t="s">
        <v>1519</v>
      </c>
      <c r="E267" s="357">
        <v>46091</v>
      </c>
      <c r="F267" s="157" t="s">
        <v>360</v>
      </c>
    </row>
    <row r="268" spans="1:6" x14ac:dyDescent="0.2">
      <c r="A268" s="157" t="s">
        <v>860</v>
      </c>
      <c r="B268" s="157" t="s">
        <v>767</v>
      </c>
      <c r="C268" s="157" t="s">
        <v>1365</v>
      </c>
      <c r="D268" s="157" t="s">
        <v>1475</v>
      </c>
      <c r="E268" s="357">
        <v>46091</v>
      </c>
      <c r="F268" s="157">
        <v>4</v>
      </c>
    </row>
    <row r="269" spans="1:6" x14ac:dyDescent="0.2">
      <c r="A269" s="157" t="s">
        <v>860</v>
      </c>
      <c r="B269" s="157" t="s">
        <v>767</v>
      </c>
      <c r="C269" s="157" t="s">
        <v>1365</v>
      </c>
      <c r="D269" s="157" t="s">
        <v>1520</v>
      </c>
      <c r="E269" s="357">
        <v>46091</v>
      </c>
      <c r="F269" s="157">
        <v>4</v>
      </c>
    </row>
    <row r="270" spans="1:6" x14ac:dyDescent="0.2">
      <c r="A270" s="157" t="s">
        <v>860</v>
      </c>
      <c r="B270" s="157" t="s">
        <v>1484</v>
      </c>
      <c r="C270" s="157" t="s">
        <v>1365</v>
      </c>
      <c r="D270" s="157" t="s">
        <v>1521</v>
      </c>
      <c r="E270" s="357">
        <v>46091</v>
      </c>
      <c r="F270" s="157" t="s">
        <v>360</v>
      </c>
    </row>
    <row r="271" spans="1:6" x14ac:dyDescent="0.2">
      <c r="A271" s="157" t="s">
        <v>860</v>
      </c>
      <c r="B271" s="157" t="s">
        <v>1484</v>
      </c>
      <c r="C271" s="157" t="s">
        <v>1365</v>
      </c>
      <c r="D271" s="157" t="s">
        <v>1522</v>
      </c>
      <c r="E271" s="357">
        <v>46091</v>
      </c>
      <c r="F271" s="157" t="s">
        <v>360</v>
      </c>
    </row>
    <row r="272" spans="1:6" x14ac:dyDescent="0.2">
      <c r="A272" s="157" t="s">
        <v>31</v>
      </c>
      <c r="B272" s="157" t="s">
        <v>205</v>
      </c>
      <c r="C272" s="157" t="s">
        <v>1211</v>
      </c>
      <c r="D272" s="157" t="s">
        <v>1523</v>
      </c>
      <c r="E272" s="357">
        <v>46091</v>
      </c>
      <c r="F272" s="157">
        <v>4</v>
      </c>
    </row>
    <row r="273" spans="1:6" x14ac:dyDescent="0.2">
      <c r="A273" s="157" t="s">
        <v>1096</v>
      </c>
      <c r="B273" s="157" t="s">
        <v>205</v>
      </c>
      <c r="C273" s="157" t="s">
        <v>1262</v>
      </c>
      <c r="D273" s="157" t="s">
        <v>1524</v>
      </c>
      <c r="E273" s="357">
        <v>46092</v>
      </c>
      <c r="F273" s="157">
        <v>3</v>
      </c>
    </row>
    <row r="274" spans="1:6" x14ac:dyDescent="0.2">
      <c r="A274" s="157" t="s">
        <v>1096</v>
      </c>
      <c r="B274" s="157" t="s">
        <v>205</v>
      </c>
      <c r="C274" s="157" t="s">
        <v>1120</v>
      </c>
      <c r="D274" s="157" t="s">
        <v>1367</v>
      </c>
      <c r="E274" s="357">
        <v>46092</v>
      </c>
      <c r="F274" s="157" t="s">
        <v>360</v>
      </c>
    </row>
    <row r="275" spans="1:6" x14ac:dyDescent="0.2">
      <c r="A275" s="157" t="s">
        <v>1063</v>
      </c>
      <c r="B275" s="157" t="s">
        <v>213</v>
      </c>
      <c r="C275" s="157" t="s">
        <v>1009</v>
      </c>
      <c r="D275" s="157" t="s">
        <v>1513</v>
      </c>
      <c r="E275" s="357">
        <v>46092</v>
      </c>
      <c r="F275" s="157" t="s">
        <v>360</v>
      </c>
    </row>
    <row r="276" spans="1:6" x14ac:dyDescent="0.2">
      <c r="A276" s="157" t="s">
        <v>1063</v>
      </c>
      <c r="B276" s="157" t="s">
        <v>192</v>
      </c>
      <c r="C276" s="157" t="s">
        <v>885</v>
      </c>
      <c r="D276" s="157" t="s">
        <v>1525</v>
      </c>
      <c r="E276" s="357">
        <v>46092</v>
      </c>
      <c r="F276" s="157" t="s">
        <v>360</v>
      </c>
    </row>
    <row r="277" spans="1:6" x14ac:dyDescent="0.2">
      <c r="A277" s="157" t="s">
        <v>1063</v>
      </c>
      <c r="B277" s="157" t="s">
        <v>358</v>
      </c>
      <c r="C277" s="157" t="s">
        <v>1446</v>
      </c>
      <c r="D277" s="157" t="s">
        <v>1526</v>
      </c>
      <c r="E277" s="357">
        <v>46092</v>
      </c>
      <c r="F277" s="157">
        <v>4</v>
      </c>
    </row>
    <row r="278" spans="1:6" x14ac:dyDescent="0.2">
      <c r="A278" s="157" t="s">
        <v>860</v>
      </c>
      <c r="B278" s="157" t="s">
        <v>1400</v>
      </c>
      <c r="C278" s="157" t="s">
        <v>169</v>
      </c>
      <c r="D278" s="157" t="s">
        <v>1527</v>
      </c>
      <c r="E278" s="357">
        <v>46092</v>
      </c>
      <c r="F278" s="157">
        <v>4</v>
      </c>
    </row>
    <row r="279" spans="1:6" x14ac:dyDescent="0.2">
      <c r="A279" s="157" t="s">
        <v>860</v>
      </c>
      <c r="B279" s="157" t="s">
        <v>383</v>
      </c>
      <c r="C279" s="157" t="s">
        <v>838</v>
      </c>
      <c r="D279" s="157" t="s">
        <v>1528</v>
      </c>
      <c r="E279" s="357">
        <v>46092</v>
      </c>
      <c r="F279" s="157" t="s">
        <v>360</v>
      </c>
    </row>
    <row r="280" spans="1:6" x14ac:dyDescent="0.2">
      <c r="A280" s="157" t="s">
        <v>1063</v>
      </c>
      <c r="B280" s="157" t="s">
        <v>213</v>
      </c>
      <c r="C280" s="157" t="s">
        <v>1383</v>
      </c>
      <c r="D280" s="157" t="s">
        <v>1529</v>
      </c>
      <c r="E280" s="357">
        <v>46093</v>
      </c>
      <c r="F280" s="157">
        <v>4</v>
      </c>
    </row>
    <row r="281" spans="1:6" x14ac:dyDescent="0.2">
      <c r="A281" s="157" t="s">
        <v>860</v>
      </c>
      <c r="B281" s="157" t="s">
        <v>192</v>
      </c>
      <c r="C281" s="157" t="s">
        <v>643</v>
      </c>
      <c r="D281" s="157" t="s">
        <v>1530</v>
      </c>
      <c r="E281" s="357">
        <v>46093</v>
      </c>
      <c r="F281" s="157">
        <v>4</v>
      </c>
    </row>
    <row r="282" spans="1:6" x14ac:dyDescent="0.2">
      <c r="A282" s="157" t="s">
        <v>860</v>
      </c>
      <c r="B282" s="157" t="s">
        <v>383</v>
      </c>
      <c r="C282" s="157" t="s">
        <v>838</v>
      </c>
      <c r="D282" s="157" t="s">
        <v>1531</v>
      </c>
      <c r="E282" s="357">
        <v>46093</v>
      </c>
      <c r="F282" s="157">
        <v>4</v>
      </c>
    </row>
    <row r="283" spans="1:6" x14ac:dyDescent="0.2">
      <c r="A283" s="157" t="s">
        <v>1459</v>
      </c>
      <c r="B283" s="157" t="s">
        <v>1532</v>
      </c>
      <c r="C283" s="157" t="s">
        <v>1377</v>
      </c>
      <c r="D283" s="157" t="s">
        <v>1533</v>
      </c>
      <c r="E283" s="357">
        <v>46094</v>
      </c>
      <c r="F283" s="157" t="s">
        <v>360</v>
      </c>
    </row>
    <row r="284" spans="1:6" x14ac:dyDescent="0.2">
      <c r="A284" s="157" t="s">
        <v>860</v>
      </c>
      <c r="B284" s="157" t="s">
        <v>230</v>
      </c>
      <c r="C284" s="157" t="s">
        <v>1365</v>
      </c>
      <c r="D284" s="157" t="s">
        <v>1534</v>
      </c>
      <c r="E284" s="357">
        <v>46094</v>
      </c>
      <c r="F284" s="157">
        <v>3</v>
      </c>
    </row>
    <row r="285" spans="1:6" x14ac:dyDescent="0.2">
      <c r="A285" s="347" t="s">
        <v>1535</v>
      </c>
      <c r="B285" s="347" t="s">
        <v>1178</v>
      </c>
      <c r="C285" s="347" t="s">
        <v>1262</v>
      </c>
      <c r="D285" s="347" t="s">
        <v>698</v>
      </c>
      <c r="E285" s="348">
        <v>46091</v>
      </c>
      <c r="F285" s="347"/>
    </row>
    <row r="286" spans="1:6" x14ac:dyDescent="0.2">
      <c r="A286" s="347" t="s">
        <v>1148</v>
      </c>
      <c r="B286" s="347" t="s">
        <v>1178</v>
      </c>
      <c r="C286" s="347" t="s">
        <v>885</v>
      </c>
      <c r="D286" s="347" t="s">
        <v>698</v>
      </c>
      <c r="E286" s="348">
        <v>46092</v>
      </c>
      <c r="F286" s="347"/>
    </row>
    <row r="287" spans="1:6" x14ac:dyDescent="0.2">
      <c r="A287" s="347" t="s">
        <v>1148</v>
      </c>
      <c r="B287" s="347" t="s">
        <v>1178</v>
      </c>
      <c r="C287" s="347" t="s">
        <v>1211</v>
      </c>
      <c r="D287" s="347" t="s">
        <v>698</v>
      </c>
      <c r="E287" s="348">
        <v>46092</v>
      </c>
      <c r="F287" s="347"/>
    </row>
    <row r="288" spans="1:6" x14ac:dyDescent="0.2">
      <c r="A288" s="347" t="s">
        <v>1478</v>
      </c>
      <c r="B288" s="347" t="s">
        <v>1117</v>
      </c>
      <c r="C288" s="347" t="s">
        <v>1505</v>
      </c>
      <c r="D288" s="347" t="s">
        <v>698</v>
      </c>
      <c r="E288" s="348">
        <v>46092</v>
      </c>
      <c r="F288" s="347"/>
    </row>
    <row r="289" spans="1:6" x14ac:dyDescent="0.2">
      <c r="A289" s="347" t="s">
        <v>1148</v>
      </c>
      <c r="B289" s="347" t="s">
        <v>1178</v>
      </c>
      <c r="C289" s="347" t="s">
        <v>1150</v>
      </c>
      <c r="D289" s="347" t="s">
        <v>698</v>
      </c>
      <c r="E289" s="348">
        <v>46093</v>
      </c>
      <c r="F289" s="347"/>
    </row>
    <row r="290" spans="1:6" x14ac:dyDescent="0.2">
      <c r="A290" s="347" t="s">
        <v>1148</v>
      </c>
      <c r="B290" s="347" t="s">
        <v>1178</v>
      </c>
      <c r="C290" s="347" t="s">
        <v>1489</v>
      </c>
      <c r="D290" s="347" t="s">
        <v>698</v>
      </c>
      <c r="E290" s="348">
        <v>46093</v>
      </c>
      <c r="F290" s="347"/>
    </row>
    <row r="291" spans="1:6" x14ac:dyDescent="0.2">
      <c r="A291" s="347" t="s">
        <v>1376</v>
      </c>
      <c r="B291" s="347" t="s">
        <v>1117</v>
      </c>
      <c r="C291" s="347" t="s">
        <v>1506</v>
      </c>
      <c r="D291" s="347" t="s">
        <v>698</v>
      </c>
      <c r="E291" s="348">
        <v>46093</v>
      </c>
      <c r="F291" s="347"/>
    </row>
    <row r="292" spans="1:6" x14ac:dyDescent="0.2">
      <c r="A292" s="347" t="s">
        <v>1280</v>
      </c>
      <c r="B292" s="347" t="s">
        <v>1178</v>
      </c>
      <c r="C292" s="347" t="s">
        <v>1285</v>
      </c>
      <c r="D292" s="347" t="s">
        <v>698</v>
      </c>
      <c r="E292" s="348">
        <v>46094</v>
      </c>
      <c r="F292" s="347"/>
    </row>
    <row r="293" spans="1:6" x14ac:dyDescent="0.2">
      <c r="A293" s="346" t="s">
        <v>622</v>
      </c>
      <c r="B293" s="346" t="s">
        <v>622</v>
      </c>
      <c r="C293" s="346" t="s">
        <v>622</v>
      </c>
      <c r="D293" s="346" t="s">
        <v>622</v>
      </c>
      <c r="E293" s="346" t="s">
        <v>622</v>
      </c>
      <c r="F293" s="346" t="s">
        <v>622</v>
      </c>
    </row>
    <row r="294" spans="1:6" x14ac:dyDescent="0.2">
      <c r="A294" s="157" t="s">
        <v>860</v>
      </c>
      <c r="B294" s="157" t="s">
        <v>529</v>
      </c>
      <c r="C294" s="157" t="s">
        <v>838</v>
      </c>
      <c r="D294" s="157" t="s">
        <v>1536</v>
      </c>
      <c r="E294" s="357">
        <v>46097</v>
      </c>
      <c r="F294" s="157">
        <v>4</v>
      </c>
    </row>
    <row r="295" spans="1:6" x14ac:dyDescent="0.2">
      <c r="A295" s="157" t="s">
        <v>1459</v>
      </c>
      <c r="B295" s="157" t="s">
        <v>390</v>
      </c>
      <c r="C295" s="157" t="s">
        <v>1377</v>
      </c>
      <c r="D295" s="157" t="s">
        <v>1537</v>
      </c>
      <c r="E295" s="357">
        <v>46097</v>
      </c>
      <c r="F295" s="157">
        <v>3</v>
      </c>
    </row>
    <row r="296" spans="1:6" x14ac:dyDescent="0.2">
      <c r="A296" s="157" t="s">
        <v>1096</v>
      </c>
      <c r="B296" s="157" t="s">
        <v>205</v>
      </c>
      <c r="C296" s="157" t="s">
        <v>1262</v>
      </c>
      <c r="D296" s="157" t="s">
        <v>953</v>
      </c>
      <c r="E296" s="357">
        <v>46098</v>
      </c>
      <c r="F296" s="157">
        <v>4</v>
      </c>
    </row>
    <row r="297" spans="1:6" x14ac:dyDescent="0.2">
      <c r="A297" s="157" t="s">
        <v>1063</v>
      </c>
      <c r="B297" s="157" t="s">
        <v>202</v>
      </c>
      <c r="C297" s="157" t="s">
        <v>1009</v>
      </c>
      <c r="D297" s="157" t="s">
        <v>1538</v>
      </c>
      <c r="E297" s="357">
        <v>46098</v>
      </c>
      <c r="F297" s="157" t="s">
        <v>360</v>
      </c>
    </row>
    <row r="298" spans="1:6" x14ac:dyDescent="0.2">
      <c r="A298" s="157" t="s">
        <v>1459</v>
      </c>
      <c r="B298" s="157" t="s">
        <v>205</v>
      </c>
      <c r="C298" s="157" t="s">
        <v>1377</v>
      </c>
      <c r="D298" s="157" t="s">
        <v>1539</v>
      </c>
      <c r="E298" s="357">
        <v>46098</v>
      </c>
      <c r="F298" s="157" t="s">
        <v>360</v>
      </c>
    </row>
    <row r="299" spans="1:6" x14ac:dyDescent="0.2">
      <c r="A299" s="157" t="s">
        <v>31</v>
      </c>
      <c r="B299" s="157" t="s">
        <v>358</v>
      </c>
      <c r="C299" s="157" t="s">
        <v>1211</v>
      </c>
      <c r="D299" s="157" t="s">
        <v>1540</v>
      </c>
      <c r="E299" s="357">
        <v>46098</v>
      </c>
      <c r="F299" s="157">
        <v>4</v>
      </c>
    </row>
    <row r="300" spans="1:6" x14ac:dyDescent="0.2">
      <c r="A300" s="157" t="s">
        <v>860</v>
      </c>
      <c r="B300" s="157" t="s">
        <v>192</v>
      </c>
      <c r="C300" s="157" t="s">
        <v>1447</v>
      </c>
      <c r="D300" s="157" t="s">
        <v>1541</v>
      </c>
      <c r="E300" s="357">
        <v>46098</v>
      </c>
      <c r="F300" s="157">
        <v>3</v>
      </c>
    </row>
    <row r="301" spans="1:6" x14ac:dyDescent="0.2">
      <c r="A301" s="157" t="s">
        <v>860</v>
      </c>
      <c r="B301" s="157" t="s">
        <v>273</v>
      </c>
      <c r="C301" s="157" t="s">
        <v>643</v>
      </c>
      <c r="D301" s="157" t="s">
        <v>1542</v>
      </c>
      <c r="E301" s="357">
        <v>46098</v>
      </c>
      <c r="F301" s="157">
        <v>4</v>
      </c>
    </row>
    <row r="302" spans="1:6" x14ac:dyDescent="0.2">
      <c r="A302" s="157" t="s">
        <v>860</v>
      </c>
      <c r="B302" s="157" t="s">
        <v>192</v>
      </c>
      <c r="C302" s="157" t="s">
        <v>1447</v>
      </c>
      <c r="D302" s="157" t="s">
        <v>988</v>
      </c>
      <c r="E302" s="357">
        <v>46098</v>
      </c>
      <c r="F302" s="157">
        <v>4</v>
      </c>
    </row>
    <row r="303" spans="1:6" x14ac:dyDescent="0.2">
      <c r="A303" s="157" t="s">
        <v>860</v>
      </c>
      <c r="B303" s="157" t="s">
        <v>230</v>
      </c>
      <c r="C303" s="157" t="s">
        <v>1392</v>
      </c>
      <c r="D303" s="157" t="s">
        <v>1543</v>
      </c>
      <c r="E303" s="357">
        <v>46098</v>
      </c>
      <c r="F303" s="157">
        <v>4</v>
      </c>
    </row>
    <row r="304" spans="1:6" x14ac:dyDescent="0.2">
      <c r="A304" s="157" t="s">
        <v>1063</v>
      </c>
      <c r="B304" s="157" t="s">
        <v>192</v>
      </c>
      <c r="C304" s="157" t="s">
        <v>885</v>
      </c>
      <c r="D304" s="157" t="s">
        <v>1544</v>
      </c>
      <c r="E304" s="357">
        <v>46098</v>
      </c>
      <c r="F304" s="157" t="s">
        <v>360</v>
      </c>
    </row>
    <row r="305" spans="1:6" x14ac:dyDescent="0.2">
      <c r="A305" s="157" t="s">
        <v>1063</v>
      </c>
      <c r="B305" s="157" t="s">
        <v>192</v>
      </c>
      <c r="C305" s="157" t="s">
        <v>1383</v>
      </c>
      <c r="D305" s="157" t="s">
        <v>1545</v>
      </c>
      <c r="E305" s="357">
        <v>46098</v>
      </c>
      <c r="F305" s="157">
        <v>4</v>
      </c>
    </row>
    <row r="306" spans="1:6" x14ac:dyDescent="0.2">
      <c r="A306" s="157" t="s">
        <v>1063</v>
      </c>
      <c r="B306" s="157" t="s">
        <v>202</v>
      </c>
      <c r="C306" s="157" t="s">
        <v>155</v>
      </c>
      <c r="D306" s="157" t="s">
        <v>1546</v>
      </c>
      <c r="E306" s="357">
        <v>46098</v>
      </c>
      <c r="F306" s="157" t="s">
        <v>360</v>
      </c>
    </row>
    <row r="307" spans="1:6" x14ac:dyDescent="0.2">
      <c r="A307" s="157" t="s">
        <v>1096</v>
      </c>
      <c r="B307" s="157" t="s">
        <v>213</v>
      </c>
      <c r="C307" s="157" t="s">
        <v>1398</v>
      </c>
      <c r="D307" s="157" t="s">
        <v>1547</v>
      </c>
      <c r="E307" s="357" t="s">
        <v>1548</v>
      </c>
      <c r="F307" s="157">
        <v>4</v>
      </c>
    </row>
    <row r="308" spans="1:6" x14ac:dyDescent="0.2">
      <c r="A308" s="157" t="s">
        <v>1063</v>
      </c>
      <c r="B308" s="157" t="s">
        <v>230</v>
      </c>
      <c r="C308" s="157" t="s">
        <v>1285</v>
      </c>
      <c r="D308" s="157" t="s">
        <v>1549</v>
      </c>
      <c r="E308" s="357" t="s">
        <v>1548</v>
      </c>
      <c r="F308" s="157">
        <v>4</v>
      </c>
    </row>
    <row r="309" spans="1:6" x14ac:dyDescent="0.2">
      <c r="A309" s="157" t="s">
        <v>1063</v>
      </c>
      <c r="B309" s="157" t="s">
        <v>286</v>
      </c>
      <c r="C309" s="157" t="s">
        <v>1446</v>
      </c>
      <c r="D309" s="157" t="s">
        <v>1550</v>
      </c>
      <c r="E309" s="357" t="s">
        <v>1548</v>
      </c>
      <c r="F309" s="157">
        <v>4</v>
      </c>
    </row>
    <row r="310" spans="1:6" x14ac:dyDescent="0.2">
      <c r="A310" s="157" t="s">
        <v>1063</v>
      </c>
      <c r="B310" s="157" t="s">
        <v>192</v>
      </c>
      <c r="C310" s="157" t="s">
        <v>885</v>
      </c>
      <c r="D310" s="157" t="s">
        <v>1551</v>
      </c>
      <c r="E310" s="357" t="s">
        <v>1548</v>
      </c>
      <c r="F310" s="157">
        <v>4</v>
      </c>
    </row>
    <row r="311" spans="1:6" x14ac:dyDescent="0.2">
      <c r="A311" s="157" t="s">
        <v>860</v>
      </c>
      <c r="B311" s="157" t="s">
        <v>250</v>
      </c>
      <c r="C311" s="157" t="s">
        <v>1392</v>
      </c>
      <c r="D311" s="157" t="s">
        <v>1552</v>
      </c>
      <c r="E311" s="357" t="s">
        <v>1548</v>
      </c>
      <c r="F311" s="157">
        <v>4</v>
      </c>
    </row>
    <row r="312" spans="1:6" x14ac:dyDescent="0.2">
      <c r="A312" s="157" t="s">
        <v>860</v>
      </c>
      <c r="B312" s="157" t="s">
        <v>230</v>
      </c>
      <c r="C312" s="157" t="s">
        <v>1009</v>
      </c>
      <c r="D312" s="157" t="s">
        <v>1553</v>
      </c>
      <c r="E312" s="357" t="s">
        <v>1548</v>
      </c>
      <c r="F312" s="157" t="s">
        <v>360</v>
      </c>
    </row>
    <row r="313" spans="1:6" x14ac:dyDescent="0.2">
      <c r="A313" s="157" t="s">
        <v>31</v>
      </c>
      <c r="B313" s="157" t="s">
        <v>1554</v>
      </c>
      <c r="C313" s="157" t="s">
        <v>1211</v>
      </c>
      <c r="D313" s="157" t="s">
        <v>1555</v>
      </c>
      <c r="E313" s="357">
        <v>46100</v>
      </c>
      <c r="F313" s="157">
        <v>4</v>
      </c>
    </row>
    <row r="314" spans="1:6" x14ac:dyDescent="0.2">
      <c r="A314" s="157" t="s">
        <v>31</v>
      </c>
      <c r="B314" s="157" t="s">
        <v>1556</v>
      </c>
      <c r="C314" s="157" t="s">
        <v>1211</v>
      </c>
      <c r="D314" s="157" t="s">
        <v>1557</v>
      </c>
      <c r="E314" s="357">
        <v>46101</v>
      </c>
      <c r="F314" s="157">
        <v>4</v>
      </c>
    </row>
    <row r="315" spans="1:6" x14ac:dyDescent="0.2">
      <c r="A315" s="347" t="s">
        <v>1409</v>
      </c>
      <c r="B315" s="347" t="s">
        <v>1558</v>
      </c>
      <c r="C315" s="347" t="s">
        <v>1559</v>
      </c>
      <c r="D315" s="347" t="s">
        <v>698</v>
      </c>
      <c r="E315" s="348">
        <v>46097</v>
      </c>
      <c r="F315" s="347"/>
    </row>
    <row r="316" spans="1:6" x14ac:dyDescent="0.2">
      <c r="A316" s="347" t="s">
        <v>1560</v>
      </c>
      <c r="B316" s="347" t="s">
        <v>1178</v>
      </c>
      <c r="C316" s="347" t="s">
        <v>1120</v>
      </c>
      <c r="D316" s="347" t="s">
        <v>698</v>
      </c>
      <c r="E316" s="348">
        <v>46097</v>
      </c>
      <c r="F316" s="347"/>
    </row>
    <row r="317" spans="1:6" x14ac:dyDescent="0.2">
      <c r="A317" s="347" t="s">
        <v>1148</v>
      </c>
      <c r="B317" s="347" t="s">
        <v>1178</v>
      </c>
      <c r="C317" s="347" t="s">
        <v>1446</v>
      </c>
      <c r="D317" s="347" t="s">
        <v>698</v>
      </c>
      <c r="E317" s="348">
        <v>46098</v>
      </c>
      <c r="F317" s="347"/>
    </row>
    <row r="318" spans="1:6" x14ac:dyDescent="0.2">
      <c r="A318" s="347" t="s">
        <v>1210</v>
      </c>
      <c r="B318" s="347" t="s">
        <v>1264</v>
      </c>
      <c r="C318" s="347" t="s">
        <v>1561</v>
      </c>
      <c r="D318" s="347" t="s">
        <v>698</v>
      </c>
      <c r="E318" s="348">
        <v>46098</v>
      </c>
      <c r="F318" s="347"/>
    </row>
    <row r="319" spans="1:6" x14ac:dyDescent="0.2">
      <c r="A319" s="347" t="s">
        <v>1148</v>
      </c>
      <c r="B319" s="347" t="s">
        <v>1178</v>
      </c>
      <c r="C319" s="347" t="s">
        <v>1447</v>
      </c>
      <c r="D319" s="347" t="s">
        <v>698</v>
      </c>
      <c r="E319" s="348">
        <v>46099</v>
      </c>
      <c r="F319" s="347"/>
    </row>
    <row r="320" spans="1:6" x14ac:dyDescent="0.2">
      <c r="A320" s="347" t="s">
        <v>1148</v>
      </c>
      <c r="B320" s="347" t="s">
        <v>1178</v>
      </c>
      <c r="C320" s="347" t="s">
        <v>643</v>
      </c>
      <c r="D320" s="347" t="s">
        <v>698</v>
      </c>
      <c r="E320" s="348">
        <v>46099</v>
      </c>
      <c r="F320" s="347"/>
    </row>
    <row r="321" spans="1:6" x14ac:dyDescent="0.2">
      <c r="A321" s="347" t="s">
        <v>1148</v>
      </c>
      <c r="B321" s="347" t="s">
        <v>1562</v>
      </c>
      <c r="C321" s="347" t="s">
        <v>1563</v>
      </c>
      <c r="D321" s="347" t="s">
        <v>698</v>
      </c>
      <c r="E321" s="348">
        <v>46099</v>
      </c>
      <c r="F321" s="347"/>
    </row>
    <row r="322" spans="1:6" x14ac:dyDescent="0.2">
      <c r="A322" s="347" t="s">
        <v>1148</v>
      </c>
      <c r="B322" s="347" t="s">
        <v>1562</v>
      </c>
      <c r="C322" s="347" t="s">
        <v>1377</v>
      </c>
      <c r="D322" s="347" t="s">
        <v>698</v>
      </c>
      <c r="E322" s="348">
        <v>46099</v>
      </c>
      <c r="F322" s="347"/>
    </row>
    <row r="323" spans="1:6" x14ac:dyDescent="0.2">
      <c r="A323" s="347" t="s">
        <v>1148</v>
      </c>
      <c r="B323" s="347" t="s">
        <v>1178</v>
      </c>
      <c r="C323" s="347" t="s">
        <v>1398</v>
      </c>
      <c r="D323" s="347" t="s">
        <v>698</v>
      </c>
      <c r="E323" s="348">
        <v>46099</v>
      </c>
      <c r="F323" s="347"/>
    </row>
    <row r="324" spans="1:6" x14ac:dyDescent="0.2">
      <c r="A324" s="346" t="s">
        <v>630</v>
      </c>
      <c r="B324" s="346" t="s">
        <v>630</v>
      </c>
      <c r="C324" s="346" t="s">
        <v>630</v>
      </c>
      <c r="D324" s="346" t="s">
        <v>630</v>
      </c>
      <c r="E324" s="346" t="s">
        <v>630</v>
      </c>
      <c r="F324" s="346" t="s">
        <v>630</v>
      </c>
    </row>
    <row r="325" spans="1:6" x14ac:dyDescent="0.2">
      <c r="A325" s="157" t="s">
        <v>860</v>
      </c>
      <c r="B325" s="157" t="s">
        <v>205</v>
      </c>
      <c r="C325" s="157" t="s">
        <v>1392</v>
      </c>
      <c r="D325" s="157" t="s">
        <v>1564</v>
      </c>
      <c r="E325" s="357" t="s">
        <v>1565</v>
      </c>
      <c r="F325" s="157">
        <v>4</v>
      </c>
    </row>
    <row r="326" spans="1:6" x14ac:dyDescent="0.2">
      <c r="A326" s="157" t="s">
        <v>31</v>
      </c>
      <c r="B326" s="157" t="s">
        <v>1566</v>
      </c>
      <c r="C326" s="157" t="s">
        <v>830</v>
      </c>
      <c r="D326" s="157" t="s">
        <v>1567</v>
      </c>
      <c r="E326" s="357">
        <v>46104</v>
      </c>
      <c r="F326" s="157">
        <v>4</v>
      </c>
    </row>
    <row r="327" spans="1:6" x14ac:dyDescent="0.2">
      <c r="A327" s="157" t="s">
        <v>1096</v>
      </c>
      <c r="B327" s="157" t="s">
        <v>192</v>
      </c>
      <c r="C327" s="157" t="s">
        <v>1398</v>
      </c>
      <c r="D327" s="157" t="s">
        <v>1568</v>
      </c>
      <c r="E327" s="357">
        <v>46105</v>
      </c>
      <c r="F327" s="157">
        <v>4</v>
      </c>
    </row>
    <row r="328" spans="1:6" x14ac:dyDescent="0.2">
      <c r="A328" s="157" t="s">
        <v>1459</v>
      </c>
      <c r="B328" s="157" t="s">
        <v>250</v>
      </c>
      <c r="C328" s="157" t="s">
        <v>1505</v>
      </c>
      <c r="D328" s="157" t="s">
        <v>1569</v>
      </c>
      <c r="E328" s="357">
        <v>46105</v>
      </c>
      <c r="F328" s="157">
        <v>3</v>
      </c>
    </row>
    <row r="329" spans="1:6" x14ac:dyDescent="0.2">
      <c r="A329" s="157" t="s">
        <v>1063</v>
      </c>
      <c r="B329" s="157" t="s">
        <v>358</v>
      </c>
      <c r="C329" s="157" t="s">
        <v>1383</v>
      </c>
      <c r="D329" s="157" t="s">
        <v>1570</v>
      </c>
      <c r="E329" s="357">
        <v>46105</v>
      </c>
      <c r="F329" s="157">
        <v>2</v>
      </c>
    </row>
    <row r="330" spans="1:6" x14ac:dyDescent="0.2">
      <c r="A330" s="157" t="s">
        <v>1063</v>
      </c>
      <c r="B330" s="157" t="s">
        <v>192</v>
      </c>
      <c r="C330" s="157" t="s">
        <v>885</v>
      </c>
      <c r="D330" s="157" t="s">
        <v>1571</v>
      </c>
      <c r="E330" s="357">
        <v>46105</v>
      </c>
      <c r="F330" s="157" t="s">
        <v>360</v>
      </c>
    </row>
    <row r="331" spans="1:6" x14ac:dyDescent="0.2">
      <c r="A331" s="157" t="s">
        <v>1063</v>
      </c>
      <c r="B331" s="157" t="s">
        <v>250</v>
      </c>
      <c r="C331" s="157" t="s">
        <v>1383</v>
      </c>
      <c r="D331" s="157" t="s">
        <v>1572</v>
      </c>
      <c r="E331" s="357">
        <v>46105</v>
      </c>
      <c r="F331" s="157">
        <v>4</v>
      </c>
    </row>
    <row r="332" spans="1:6" x14ac:dyDescent="0.2">
      <c r="A332" s="157" t="s">
        <v>860</v>
      </c>
      <c r="B332" s="157" t="s">
        <v>192</v>
      </c>
      <c r="C332" s="157" t="s">
        <v>1392</v>
      </c>
      <c r="D332" s="157" t="s">
        <v>1573</v>
      </c>
      <c r="E332" s="357">
        <v>46105</v>
      </c>
      <c r="F332" s="157">
        <v>4</v>
      </c>
    </row>
    <row r="333" spans="1:6" x14ac:dyDescent="0.2">
      <c r="A333" s="157" t="s">
        <v>860</v>
      </c>
      <c r="B333" s="157" t="s">
        <v>383</v>
      </c>
      <c r="C333" s="157" t="s">
        <v>1574</v>
      </c>
      <c r="D333" s="157" t="s">
        <v>1575</v>
      </c>
      <c r="E333" s="357">
        <v>46105</v>
      </c>
      <c r="F333" s="157">
        <v>4</v>
      </c>
    </row>
    <row r="334" spans="1:6" x14ac:dyDescent="0.2">
      <c r="A334" s="157" t="s">
        <v>860</v>
      </c>
      <c r="B334" s="157" t="s">
        <v>273</v>
      </c>
      <c r="C334" s="157" t="s">
        <v>643</v>
      </c>
      <c r="D334" s="157" t="s">
        <v>1576</v>
      </c>
      <c r="E334" s="357">
        <v>46105</v>
      </c>
      <c r="F334" s="157">
        <v>4</v>
      </c>
    </row>
    <row r="335" spans="1:6" x14ac:dyDescent="0.2">
      <c r="A335" s="157" t="s">
        <v>1577</v>
      </c>
      <c r="B335" s="157" t="s">
        <v>205</v>
      </c>
      <c r="C335" s="157" t="s">
        <v>55</v>
      </c>
      <c r="D335" s="157" t="s">
        <v>1578</v>
      </c>
      <c r="E335" s="357">
        <v>46106</v>
      </c>
      <c r="F335" s="157">
        <v>4</v>
      </c>
    </row>
    <row r="336" spans="1:6" x14ac:dyDescent="0.2">
      <c r="A336" s="157" t="s">
        <v>31</v>
      </c>
      <c r="B336" s="157" t="s">
        <v>286</v>
      </c>
      <c r="C336" s="157" t="s">
        <v>56</v>
      </c>
      <c r="D336" s="157" t="s">
        <v>1579</v>
      </c>
      <c r="E336" s="357">
        <v>46106</v>
      </c>
      <c r="F336" s="157">
        <v>3</v>
      </c>
    </row>
    <row r="337" spans="1:6" x14ac:dyDescent="0.2">
      <c r="A337" s="157" t="s">
        <v>31</v>
      </c>
      <c r="B337" s="157" t="s">
        <v>1554</v>
      </c>
      <c r="C337" s="157" t="s">
        <v>1211</v>
      </c>
      <c r="D337" s="157" t="s">
        <v>1580</v>
      </c>
      <c r="E337" s="357">
        <v>46106</v>
      </c>
      <c r="F337" s="157">
        <v>4</v>
      </c>
    </row>
    <row r="338" spans="1:6" x14ac:dyDescent="0.2">
      <c r="A338" s="157" t="s">
        <v>860</v>
      </c>
      <c r="B338" s="157" t="s">
        <v>250</v>
      </c>
      <c r="C338" s="157" t="s">
        <v>1489</v>
      </c>
      <c r="D338" s="157" t="s">
        <v>1512</v>
      </c>
      <c r="E338" s="357">
        <v>46106</v>
      </c>
      <c r="F338" s="157" t="s">
        <v>360</v>
      </c>
    </row>
    <row r="339" spans="1:6" x14ac:dyDescent="0.2">
      <c r="A339" s="157" t="s">
        <v>860</v>
      </c>
      <c r="B339" s="157" t="s">
        <v>250</v>
      </c>
      <c r="C339" s="157" t="s">
        <v>1489</v>
      </c>
      <c r="D339" s="157" t="s">
        <v>988</v>
      </c>
      <c r="E339" s="357">
        <v>46106</v>
      </c>
      <c r="F339" s="157">
        <v>3</v>
      </c>
    </row>
    <row r="340" spans="1:6" x14ac:dyDescent="0.2">
      <c r="A340" s="157" t="s">
        <v>860</v>
      </c>
      <c r="B340" s="157" t="s">
        <v>192</v>
      </c>
      <c r="C340" s="157" t="s">
        <v>1574</v>
      </c>
      <c r="D340" s="157" t="s">
        <v>1581</v>
      </c>
      <c r="E340" s="357">
        <v>46107</v>
      </c>
      <c r="F340" s="157">
        <v>3</v>
      </c>
    </row>
    <row r="341" spans="1:6" x14ac:dyDescent="0.2">
      <c r="A341" s="157" t="s">
        <v>860</v>
      </c>
      <c r="B341" s="157" t="s">
        <v>192</v>
      </c>
      <c r="C341" s="157" t="s">
        <v>1447</v>
      </c>
      <c r="D341" s="157" t="s">
        <v>1582</v>
      </c>
      <c r="E341" s="357">
        <v>46107</v>
      </c>
      <c r="F341" s="157">
        <v>4</v>
      </c>
    </row>
    <row r="342" spans="1:6" x14ac:dyDescent="0.2">
      <c r="A342" s="157" t="s">
        <v>860</v>
      </c>
      <c r="B342" s="157" t="s">
        <v>192</v>
      </c>
      <c r="C342" s="157" t="s">
        <v>1447</v>
      </c>
      <c r="D342" s="157" t="s">
        <v>1583</v>
      </c>
      <c r="E342" s="357">
        <v>46107</v>
      </c>
      <c r="F342" s="157">
        <v>4</v>
      </c>
    </row>
    <row r="343" spans="1:6" x14ac:dyDescent="0.2">
      <c r="A343" s="157" t="s">
        <v>1459</v>
      </c>
      <c r="B343" s="157" t="s">
        <v>250</v>
      </c>
      <c r="C343" s="157" t="s">
        <v>1505</v>
      </c>
      <c r="D343" s="157" t="s">
        <v>1584</v>
      </c>
      <c r="E343" s="357">
        <v>46107</v>
      </c>
      <c r="F343" s="157">
        <v>4</v>
      </c>
    </row>
    <row r="344" spans="1:6" x14ac:dyDescent="0.2">
      <c r="A344" s="157" t="s">
        <v>1063</v>
      </c>
      <c r="B344" s="157" t="s">
        <v>358</v>
      </c>
      <c r="C344" s="157" t="s">
        <v>1446</v>
      </c>
      <c r="D344" s="157" t="s">
        <v>1585</v>
      </c>
      <c r="E344" s="357">
        <v>46107</v>
      </c>
      <c r="F344" s="157">
        <v>4</v>
      </c>
    </row>
    <row r="345" spans="1:6" x14ac:dyDescent="0.2">
      <c r="A345" s="157" t="s">
        <v>1063</v>
      </c>
      <c r="B345" s="157" t="s">
        <v>205</v>
      </c>
      <c r="C345" s="157" t="s">
        <v>1150</v>
      </c>
      <c r="D345" s="157" t="s">
        <v>1586</v>
      </c>
      <c r="E345" s="357">
        <v>46107</v>
      </c>
      <c r="F345" s="157">
        <v>4</v>
      </c>
    </row>
    <row r="346" spans="1:6" x14ac:dyDescent="0.2">
      <c r="A346" s="157" t="s">
        <v>1063</v>
      </c>
      <c r="B346" s="157" t="s">
        <v>205</v>
      </c>
      <c r="C346" s="157" t="s">
        <v>1285</v>
      </c>
      <c r="D346" s="157" t="s">
        <v>1587</v>
      </c>
      <c r="E346" s="357">
        <v>46107</v>
      </c>
      <c r="F346" s="157">
        <v>4</v>
      </c>
    </row>
    <row r="347" spans="1:6" x14ac:dyDescent="0.2">
      <c r="A347" s="157" t="s">
        <v>1459</v>
      </c>
      <c r="B347" s="157" t="s">
        <v>205</v>
      </c>
      <c r="C347" s="157" t="s">
        <v>55</v>
      </c>
      <c r="D347" s="157" t="s">
        <v>1588</v>
      </c>
      <c r="E347" s="357">
        <v>46108</v>
      </c>
      <c r="F347" s="157">
        <v>4</v>
      </c>
    </row>
    <row r="348" spans="1:6" x14ac:dyDescent="0.2">
      <c r="A348" s="157" t="s">
        <v>860</v>
      </c>
      <c r="B348" s="157" t="s">
        <v>192</v>
      </c>
      <c r="C348" s="157" t="s">
        <v>1009</v>
      </c>
      <c r="D348" s="157" t="s">
        <v>1589</v>
      </c>
      <c r="E348" s="357">
        <v>46108</v>
      </c>
      <c r="F348" s="157" t="s">
        <v>360</v>
      </c>
    </row>
    <row r="349" spans="1:6" x14ac:dyDescent="0.2">
      <c r="A349" s="347" t="s">
        <v>1590</v>
      </c>
      <c r="B349" s="347" t="s">
        <v>1558</v>
      </c>
      <c r="C349" s="347" t="s">
        <v>1591</v>
      </c>
      <c r="D349" s="347" t="s">
        <v>698</v>
      </c>
      <c r="E349" s="348">
        <v>46104</v>
      </c>
      <c r="F349" s="347"/>
    </row>
    <row r="350" spans="1:6" x14ac:dyDescent="0.2">
      <c r="A350" s="347" t="s">
        <v>1590</v>
      </c>
      <c r="B350" s="347" t="s">
        <v>1558</v>
      </c>
      <c r="C350" s="347" t="s">
        <v>1592</v>
      </c>
      <c r="D350" s="347" t="s">
        <v>698</v>
      </c>
      <c r="E350" s="348">
        <v>46104</v>
      </c>
      <c r="F350" s="347"/>
    </row>
    <row r="351" spans="1:6" x14ac:dyDescent="0.2">
      <c r="A351" s="347" t="s">
        <v>1116</v>
      </c>
      <c r="B351" s="347" t="s">
        <v>1558</v>
      </c>
      <c r="C351" s="347" t="s">
        <v>1593</v>
      </c>
      <c r="D351" s="347" t="s">
        <v>698</v>
      </c>
      <c r="E351" s="348">
        <v>46104</v>
      </c>
      <c r="F351" s="347"/>
    </row>
    <row r="352" spans="1:6" x14ac:dyDescent="0.2">
      <c r="A352" s="347" t="s">
        <v>1352</v>
      </c>
      <c r="B352" s="347" t="s">
        <v>1117</v>
      </c>
      <c r="C352" s="347" t="s">
        <v>1561</v>
      </c>
      <c r="D352" s="347" t="s">
        <v>698</v>
      </c>
      <c r="E352" s="348">
        <v>46105</v>
      </c>
      <c r="F352" s="347"/>
    </row>
    <row r="353" spans="1:6" x14ac:dyDescent="0.2">
      <c r="A353" s="347" t="s">
        <v>1148</v>
      </c>
      <c r="B353" s="347" t="s">
        <v>1178</v>
      </c>
      <c r="C353" s="347" t="s">
        <v>1211</v>
      </c>
      <c r="D353" s="347" t="s">
        <v>698</v>
      </c>
      <c r="E353" s="348">
        <v>46106</v>
      </c>
      <c r="F353" s="347"/>
    </row>
    <row r="354" spans="1:6" x14ac:dyDescent="0.2">
      <c r="A354" s="347" t="s">
        <v>1148</v>
      </c>
      <c r="B354" s="347" t="s">
        <v>656</v>
      </c>
      <c r="C354" s="347" t="s">
        <v>1594</v>
      </c>
      <c r="D354" s="347" t="s">
        <v>698</v>
      </c>
      <c r="E354" s="348">
        <v>46108</v>
      </c>
      <c r="F354" s="347"/>
    </row>
    <row r="355" spans="1:6" x14ac:dyDescent="0.2">
      <c r="A355" s="347" t="s">
        <v>1148</v>
      </c>
      <c r="B355" s="347" t="s">
        <v>656</v>
      </c>
      <c r="C355" s="347" t="s">
        <v>1595</v>
      </c>
      <c r="D355" s="347" t="s">
        <v>698</v>
      </c>
      <c r="E355" s="348">
        <v>46108</v>
      </c>
      <c r="F355" s="347"/>
    </row>
    <row r="356" spans="1:6" x14ac:dyDescent="0.2">
      <c r="A356" s="346" t="s">
        <v>633</v>
      </c>
      <c r="B356" s="346" t="s">
        <v>633</v>
      </c>
      <c r="C356" s="346" t="s">
        <v>633</v>
      </c>
      <c r="D356" s="346" t="s">
        <v>633</v>
      </c>
      <c r="E356" s="346" t="s">
        <v>633</v>
      </c>
      <c r="F356" s="346" t="s">
        <v>633</v>
      </c>
    </row>
    <row r="357" spans="1:6" x14ac:dyDescent="0.2">
      <c r="A357" s="157" t="s">
        <v>1459</v>
      </c>
      <c r="B357" s="157" t="s">
        <v>205</v>
      </c>
      <c r="C357" s="157" t="s">
        <v>55</v>
      </c>
      <c r="D357" s="157" t="s">
        <v>1596</v>
      </c>
      <c r="E357" s="357">
        <v>46111</v>
      </c>
      <c r="F357" s="157">
        <v>4</v>
      </c>
    </row>
    <row r="358" spans="1:6" x14ac:dyDescent="0.2">
      <c r="A358" s="157" t="s">
        <v>1459</v>
      </c>
      <c r="B358" s="157" t="s">
        <v>205</v>
      </c>
      <c r="C358" s="157" t="s">
        <v>55</v>
      </c>
      <c r="D358" s="157" t="s">
        <v>1597</v>
      </c>
      <c r="E358" s="357">
        <v>46111</v>
      </c>
      <c r="F358" s="157">
        <v>4</v>
      </c>
    </row>
    <row r="359" spans="1:6" x14ac:dyDescent="0.2">
      <c r="A359" s="157" t="s">
        <v>31</v>
      </c>
      <c r="B359" s="157" t="s">
        <v>1140</v>
      </c>
      <c r="C359" s="157" t="s">
        <v>1398</v>
      </c>
      <c r="D359" s="157" t="s">
        <v>1598</v>
      </c>
      <c r="E359" s="357">
        <v>46111</v>
      </c>
      <c r="F359" s="157" t="s">
        <v>1599</v>
      </c>
    </row>
    <row r="360" spans="1:6" x14ac:dyDescent="0.2">
      <c r="A360" s="157" t="s">
        <v>860</v>
      </c>
      <c r="B360" s="157" t="s">
        <v>205</v>
      </c>
      <c r="C360" s="157" t="s">
        <v>1398</v>
      </c>
      <c r="D360" s="157" t="s">
        <v>1600</v>
      </c>
      <c r="E360" s="357">
        <v>46111</v>
      </c>
      <c r="F360" s="157" t="s">
        <v>1599</v>
      </c>
    </row>
    <row r="361" spans="1:6" x14ac:dyDescent="0.2">
      <c r="A361" s="157" t="s">
        <v>1063</v>
      </c>
      <c r="B361" s="157" t="s">
        <v>358</v>
      </c>
      <c r="C361" s="157" t="s">
        <v>1446</v>
      </c>
      <c r="D361" s="157" t="s">
        <v>1601</v>
      </c>
      <c r="E361" s="357">
        <v>46111</v>
      </c>
      <c r="F361" s="157">
        <v>4</v>
      </c>
    </row>
    <row r="362" spans="1:6" x14ac:dyDescent="0.2">
      <c r="A362" s="157" t="s">
        <v>1063</v>
      </c>
      <c r="B362" s="157" t="s">
        <v>205</v>
      </c>
      <c r="C362" s="157" t="s">
        <v>1383</v>
      </c>
      <c r="D362" s="157" t="s">
        <v>1602</v>
      </c>
      <c r="E362" s="357">
        <v>46112</v>
      </c>
      <c r="F362" s="157">
        <v>4</v>
      </c>
    </row>
    <row r="363" spans="1:6" x14ac:dyDescent="0.2">
      <c r="A363" s="157" t="s">
        <v>1063</v>
      </c>
      <c r="B363" s="157" t="s">
        <v>358</v>
      </c>
      <c r="C363" s="157" t="s">
        <v>1383</v>
      </c>
      <c r="D363" s="157" t="s">
        <v>1603</v>
      </c>
      <c r="E363" s="357">
        <v>46112</v>
      </c>
      <c r="F363" s="157">
        <v>3</v>
      </c>
    </row>
    <row r="364" spans="1:6" x14ac:dyDescent="0.2">
      <c r="A364" s="157" t="s">
        <v>31</v>
      </c>
      <c r="B364" s="157" t="s">
        <v>358</v>
      </c>
      <c r="C364" s="157" t="s">
        <v>56</v>
      </c>
      <c r="D364" s="157" t="s">
        <v>1604</v>
      </c>
      <c r="E364" s="357">
        <v>46112</v>
      </c>
      <c r="F364" s="157">
        <v>4</v>
      </c>
    </row>
    <row r="365" spans="1:6" x14ac:dyDescent="0.2">
      <c r="A365" s="157" t="s">
        <v>860</v>
      </c>
      <c r="B365" s="157" t="s">
        <v>1081</v>
      </c>
      <c r="C365" s="157" t="s">
        <v>1009</v>
      </c>
      <c r="D365" s="157" t="s">
        <v>1605</v>
      </c>
      <c r="E365" s="357">
        <v>46112</v>
      </c>
      <c r="F365" s="157" t="s">
        <v>360</v>
      </c>
    </row>
    <row r="366" spans="1:6" x14ac:dyDescent="0.2">
      <c r="A366" s="157" t="s">
        <v>860</v>
      </c>
      <c r="B366" s="157" t="s">
        <v>192</v>
      </c>
      <c r="C366" s="157" t="s">
        <v>1248</v>
      </c>
      <c r="D366" s="157" t="s">
        <v>1606</v>
      </c>
      <c r="E366" s="357">
        <v>46112</v>
      </c>
      <c r="F366" s="157">
        <v>4</v>
      </c>
    </row>
    <row r="367" spans="1:6" x14ac:dyDescent="0.2">
      <c r="A367" s="157" t="s">
        <v>860</v>
      </c>
      <c r="B367" s="157" t="s">
        <v>192</v>
      </c>
      <c r="C367" s="157" t="s">
        <v>1248</v>
      </c>
      <c r="D367" s="157" t="s">
        <v>1607</v>
      </c>
      <c r="E367" s="357">
        <v>46112</v>
      </c>
      <c r="F367" s="157">
        <v>3</v>
      </c>
    </row>
    <row r="368" spans="1:6" x14ac:dyDescent="0.2">
      <c r="A368" s="157" t="s">
        <v>860</v>
      </c>
      <c r="B368" s="157" t="s">
        <v>192</v>
      </c>
      <c r="C368" s="157" t="s">
        <v>1574</v>
      </c>
      <c r="D368" s="157" t="s">
        <v>1608</v>
      </c>
      <c r="E368" s="357">
        <v>46112</v>
      </c>
      <c r="F368" s="157">
        <v>4</v>
      </c>
    </row>
    <row r="369" spans="1:6" x14ac:dyDescent="0.2">
      <c r="A369" s="157" t="s">
        <v>31</v>
      </c>
      <c r="B369" s="157" t="s">
        <v>192</v>
      </c>
      <c r="C369" s="157" t="s">
        <v>1211</v>
      </c>
      <c r="D369" s="157" t="s">
        <v>1609</v>
      </c>
      <c r="E369" s="357">
        <v>46112</v>
      </c>
      <c r="F369" s="157">
        <v>4</v>
      </c>
    </row>
    <row r="370" spans="1:6" x14ac:dyDescent="0.2">
      <c r="A370" s="157" t="s">
        <v>31</v>
      </c>
      <c r="B370" s="157" t="s">
        <v>192</v>
      </c>
      <c r="C370" s="157" t="s">
        <v>1480</v>
      </c>
      <c r="D370" s="157" t="s">
        <v>1610</v>
      </c>
      <c r="E370" s="357">
        <v>46113</v>
      </c>
      <c r="F370" s="157">
        <v>4</v>
      </c>
    </row>
    <row r="371" spans="1:6" x14ac:dyDescent="0.2">
      <c r="A371" s="157" t="s">
        <v>1063</v>
      </c>
      <c r="B371" s="157" t="s">
        <v>390</v>
      </c>
      <c r="C371" s="157" t="s">
        <v>1150</v>
      </c>
      <c r="D371" s="157" t="s">
        <v>1611</v>
      </c>
      <c r="E371" s="357">
        <v>46113</v>
      </c>
      <c r="F371" s="157">
        <v>3</v>
      </c>
    </row>
    <row r="372" spans="1:6" x14ac:dyDescent="0.2">
      <c r="A372" s="157" t="s">
        <v>860</v>
      </c>
      <c r="B372" s="157" t="s">
        <v>192</v>
      </c>
      <c r="C372" s="157" t="s">
        <v>1447</v>
      </c>
      <c r="D372" s="157" t="s">
        <v>1612</v>
      </c>
      <c r="E372" s="357">
        <v>46113</v>
      </c>
      <c r="F372" s="157">
        <v>4</v>
      </c>
    </row>
    <row r="373" spans="1:6" x14ac:dyDescent="0.2">
      <c r="A373" s="157" t="s">
        <v>860</v>
      </c>
      <c r="B373" s="157" t="s">
        <v>192</v>
      </c>
      <c r="C373" s="157" t="s">
        <v>1248</v>
      </c>
      <c r="D373" s="157" t="s">
        <v>1606</v>
      </c>
      <c r="E373" s="357">
        <v>46113</v>
      </c>
      <c r="F373" s="157">
        <v>3</v>
      </c>
    </row>
    <row r="374" spans="1:6" x14ac:dyDescent="0.2">
      <c r="A374" s="157" t="s">
        <v>860</v>
      </c>
      <c r="B374" s="157" t="s">
        <v>192</v>
      </c>
      <c r="C374" s="157" t="s">
        <v>1447</v>
      </c>
      <c r="D374" s="157" t="s">
        <v>1613</v>
      </c>
      <c r="E374" s="357">
        <v>46113</v>
      </c>
      <c r="F374" s="157" t="s">
        <v>360</v>
      </c>
    </row>
    <row r="375" spans="1:6" x14ac:dyDescent="0.2">
      <c r="A375" s="157" t="s">
        <v>860</v>
      </c>
      <c r="B375" s="157" t="s">
        <v>192</v>
      </c>
      <c r="C375" s="157" t="s">
        <v>643</v>
      </c>
      <c r="D375" s="157" t="s">
        <v>1606</v>
      </c>
      <c r="E375" s="357">
        <v>46113</v>
      </c>
      <c r="F375" s="157" t="s">
        <v>360</v>
      </c>
    </row>
    <row r="376" spans="1:6" x14ac:dyDescent="0.2">
      <c r="A376" s="157" t="s">
        <v>860</v>
      </c>
      <c r="B376" s="157" t="s">
        <v>1081</v>
      </c>
      <c r="C376" s="157" t="s">
        <v>1489</v>
      </c>
      <c r="D376" s="157" t="s">
        <v>1614</v>
      </c>
      <c r="E376" s="357">
        <v>46113</v>
      </c>
      <c r="F376" s="157" t="s">
        <v>360</v>
      </c>
    </row>
    <row r="377" spans="1:6" x14ac:dyDescent="0.2">
      <c r="A377" s="157" t="s">
        <v>860</v>
      </c>
      <c r="B377" s="157" t="s">
        <v>1081</v>
      </c>
      <c r="C377" s="157" t="s">
        <v>838</v>
      </c>
      <c r="D377" s="157" t="s">
        <v>1615</v>
      </c>
      <c r="E377" s="357">
        <v>46114</v>
      </c>
      <c r="F377" s="157">
        <v>4</v>
      </c>
    </row>
    <row r="378" spans="1:6" x14ac:dyDescent="0.2">
      <c r="A378" s="157" t="s">
        <v>860</v>
      </c>
      <c r="B378" s="157" t="s">
        <v>192</v>
      </c>
      <c r="C378" s="157" t="s">
        <v>157</v>
      </c>
      <c r="D378" s="157" t="s">
        <v>1616</v>
      </c>
      <c r="E378" s="357">
        <v>46114</v>
      </c>
      <c r="F378" s="157">
        <v>4</v>
      </c>
    </row>
    <row r="379" spans="1:6" x14ac:dyDescent="0.2">
      <c r="A379" s="157" t="s">
        <v>860</v>
      </c>
      <c r="B379" s="157" t="s">
        <v>192</v>
      </c>
      <c r="C379" s="157" t="s">
        <v>643</v>
      </c>
      <c r="D379" s="157" t="s">
        <v>1617</v>
      </c>
      <c r="E379" s="357">
        <v>46114</v>
      </c>
      <c r="F379" s="157" t="s">
        <v>360</v>
      </c>
    </row>
    <row r="380" spans="1:6" x14ac:dyDescent="0.2">
      <c r="A380" s="157" t="s">
        <v>860</v>
      </c>
      <c r="B380" s="157" t="s">
        <v>192</v>
      </c>
      <c r="C380" s="157" t="s">
        <v>1392</v>
      </c>
      <c r="D380" s="157" t="s">
        <v>1618</v>
      </c>
      <c r="E380" s="357">
        <v>46114</v>
      </c>
      <c r="F380" s="157">
        <v>2</v>
      </c>
    </row>
    <row r="381" spans="1:6" x14ac:dyDescent="0.2">
      <c r="A381" s="157" t="s">
        <v>860</v>
      </c>
      <c r="B381" s="157" t="s">
        <v>1081</v>
      </c>
      <c r="C381" s="157" t="s">
        <v>1392</v>
      </c>
      <c r="D381" s="157" t="s">
        <v>1619</v>
      </c>
      <c r="E381" s="357">
        <v>46114</v>
      </c>
      <c r="F381" s="157">
        <v>3</v>
      </c>
    </row>
    <row r="382" spans="1:6" x14ac:dyDescent="0.2">
      <c r="A382" s="157" t="s">
        <v>860</v>
      </c>
      <c r="B382" s="157" t="s">
        <v>1081</v>
      </c>
      <c r="C382" s="157" t="s">
        <v>643</v>
      </c>
      <c r="D382" s="157" t="s">
        <v>1620</v>
      </c>
      <c r="E382" s="357">
        <v>46114</v>
      </c>
      <c r="F382" s="157" t="s">
        <v>360</v>
      </c>
    </row>
    <row r="383" spans="1:6" x14ac:dyDescent="0.2">
      <c r="A383" s="157" t="s">
        <v>1063</v>
      </c>
      <c r="B383" s="157" t="s">
        <v>286</v>
      </c>
      <c r="C383" s="157" t="s">
        <v>155</v>
      </c>
      <c r="D383" s="157" t="s">
        <v>1621</v>
      </c>
      <c r="E383" s="357">
        <v>46114</v>
      </c>
      <c r="F383" s="157">
        <v>4</v>
      </c>
    </row>
    <row r="384" spans="1:6" x14ac:dyDescent="0.2">
      <c r="A384" s="157" t="s">
        <v>1063</v>
      </c>
      <c r="B384" s="157" t="s">
        <v>205</v>
      </c>
      <c r="C384" s="157" t="s">
        <v>1446</v>
      </c>
      <c r="D384" s="157" t="s">
        <v>1622</v>
      </c>
      <c r="E384" s="357">
        <v>46114</v>
      </c>
      <c r="F384" s="157">
        <v>4</v>
      </c>
    </row>
    <row r="385" spans="1:6" x14ac:dyDescent="0.2">
      <c r="A385" s="157" t="s">
        <v>1063</v>
      </c>
      <c r="B385" s="157" t="s">
        <v>205</v>
      </c>
      <c r="C385" s="157" t="s">
        <v>1285</v>
      </c>
      <c r="D385" s="157" t="s">
        <v>1623</v>
      </c>
      <c r="E385" s="357">
        <v>46114</v>
      </c>
      <c r="F385" s="157">
        <v>3</v>
      </c>
    </row>
    <row r="386" spans="1:6" x14ac:dyDescent="0.2">
      <c r="A386" s="157" t="s">
        <v>1063</v>
      </c>
      <c r="B386" s="157" t="s">
        <v>205</v>
      </c>
      <c r="C386" s="157" t="s">
        <v>885</v>
      </c>
      <c r="D386" s="157" t="s">
        <v>1624</v>
      </c>
      <c r="E386" s="357">
        <v>46114</v>
      </c>
      <c r="F386" s="157" t="s">
        <v>360</v>
      </c>
    </row>
    <row r="387" spans="1:6" x14ac:dyDescent="0.2">
      <c r="A387" s="347" t="s">
        <v>1148</v>
      </c>
      <c r="B387" s="347" t="s">
        <v>1178</v>
      </c>
      <c r="C387" s="347" t="s">
        <v>1120</v>
      </c>
      <c r="D387" s="347" t="s">
        <v>698</v>
      </c>
      <c r="E387" s="348">
        <v>46111</v>
      </c>
      <c r="F387" s="347"/>
    </row>
    <row r="388" spans="1:6" x14ac:dyDescent="0.2">
      <c r="A388" s="347" t="s">
        <v>1148</v>
      </c>
      <c r="B388" s="347" t="s">
        <v>1178</v>
      </c>
      <c r="C388" s="347" t="s">
        <v>838</v>
      </c>
      <c r="D388" s="347" t="s">
        <v>698</v>
      </c>
      <c r="E388" s="348">
        <v>46112</v>
      </c>
      <c r="F388" s="347"/>
    </row>
    <row r="389" spans="1:6" x14ac:dyDescent="0.2">
      <c r="A389" s="347" t="s">
        <v>1148</v>
      </c>
      <c r="B389" s="347" t="s">
        <v>1178</v>
      </c>
      <c r="C389" s="347" t="s">
        <v>155</v>
      </c>
      <c r="D389" s="347" t="s">
        <v>698</v>
      </c>
      <c r="E389" s="348">
        <v>46112</v>
      </c>
      <c r="F389" s="347"/>
    </row>
    <row r="390" spans="1:6" x14ac:dyDescent="0.2">
      <c r="A390" s="347" t="s">
        <v>1625</v>
      </c>
      <c r="B390" s="347" t="s">
        <v>656</v>
      </c>
      <c r="C390" s="347" t="s">
        <v>1626</v>
      </c>
      <c r="D390" s="347" t="s">
        <v>698</v>
      </c>
      <c r="E390" s="348">
        <v>45016</v>
      </c>
      <c r="F390" s="347"/>
    </row>
    <row r="391" spans="1:6" x14ac:dyDescent="0.2">
      <c r="A391" s="347" t="s">
        <v>1148</v>
      </c>
      <c r="B391" s="347" t="s">
        <v>1178</v>
      </c>
      <c r="C391" s="347" t="s">
        <v>1574</v>
      </c>
      <c r="D391" s="347" t="s">
        <v>698</v>
      </c>
      <c r="E391" s="348">
        <v>45017</v>
      </c>
      <c r="F391" s="347"/>
    </row>
    <row r="392" spans="1:6" x14ac:dyDescent="0.2">
      <c r="A392" s="347" t="s">
        <v>1148</v>
      </c>
      <c r="B392" s="347" t="s">
        <v>1178</v>
      </c>
      <c r="C392" s="347" t="s">
        <v>1248</v>
      </c>
      <c r="D392" s="347" t="s">
        <v>698</v>
      </c>
      <c r="E392" s="348">
        <v>45017</v>
      </c>
      <c r="F392" s="347"/>
    </row>
    <row r="393" spans="1:6" x14ac:dyDescent="0.2">
      <c r="A393" s="347" t="s">
        <v>1148</v>
      </c>
      <c r="B393" s="347" t="s">
        <v>1562</v>
      </c>
      <c r="C393" s="347" t="s">
        <v>1262</v>
      </c>
      <c r="D393" s="347" t="s">
        <v>698</v>
      </c>
      <c r="E393" s="348">
        <v>45017</v>
      </c>
      <c r="F393" s="347"/>
    </row>
    <row r="394" spans="1:6" x14ac:dyDescent="0.2">
      <c r="A394" s="347" t="s">
        <v>1411</v>
      </c>
      <c r="B394" s="347" t="s">
        <v>1281</v>
      </c>
      <c r="C394" s="347" t="s">
        <v>1211</v>
      </c>
      <c r="D394" s="347" t="s">
        <v>698</v>
      </c>
      <c r="E394" s="348">
        <v>46113</v>
      </c>
      <c r="F394" s="347"/>
    </row>
    <row r="395" spans="1:6" x14ac:dyDescent="0.2">
      <c r="A395" s="347" t="s">
        <v>1148</v>
      </c>
      <c r="B395" s="347" t="s">
        <v>1178</v>
      </c>
      <c r="C395" s="347" t="s">
        <v>830</v>
      </c>
      <c r="D395" s="347" t="s">
        <v>698</v>
      </c>
      <c r="E395" s="348">
        <v>46113</v>
      </c>
      <c r="F395" s="347"/>
    </row>
    <row r="396" spans="1:6" x14ac:dyDescent="0.2">
      <c r="A396" s="347" t="s">
        <v>1148</v>
      </c>
      <c r="B396" s="347" t="s">
        <v>656</v>
      </c>
      <c r="C396" s="347" t="s">
        <v>1627</v>
      </c>
      <c r="D396" s="347" t="s">
        <v>698</v>
      </c>
      <c r="E396" s="348">
        <v>46113</v>
      </c>
      <c r="F396" s="347"/>
    </row>
    <row r="397" spans="1:6" x14ac:dyDescent="0.2">
      <c r="A397" s="347" t="s">
        <v>1504</v>
      </c>
      <c r="B397" s="347" t="s">
        <v>1178</v>
      </c>
      <c r="C397" s="347" t="s">
        <v>1408</v>
      </c>
      <c r="D397" s="347" t="s">
        <v>698</v>
      </c>
      <c r="E397" s="348">
        <v>46114</v>
      </c>
      <c r="F397" s="347"/>
    </row>
    <row r="398" spans="1:6" x14ac:dyDescent="0.2">
      <c r="A398" s="347" t="s">
        <v>1148</v>
      </c>
      <c r="B398" s="347" t="s">
        <v>1281</v>
      </c>
      <c r="C398" s="347" t="s">
        <v>1628</v>
      </c>
      <c r="D398" s="347" t="s">
        <v>698</v>
      </c>
      <c r="E398" s="348">
        <v>46114</v>
      </c>
      <c r="F398" s="347"/>
    </row>
    <row r="399" spans="1:6" x14ac:dyDescent="0.2">
      <c r="A399" s="346" t="s">
        <v>644</v>
      </c>
      <c r="B399" s="346" t="s">
        <v>644</v>
      </c>
      <c r="C399" s="346" t="s">
        <v>644</v>
      </c>
      <c r="D399" s="346" t="s">
        <v>644</v>
      </c>
      <c r="E399" s="346" t="s">
        <v>644</v>
      </c>
      <c r="F399" s="346" t="s">
        <v>644</v>
      </c>
    </row>
    <row r="400" spans="1:6" x14ac:dyDescent="0.2">
      <c r="A400" s="157" t="s">
        <v>860</v>
      </c>
      <c r="B400" s="157" t="s">
        <v>383</v>
      </c>
      <c r="C400" s="157" t="s">
        <v>1574</v>
      </c>
      <c r="D400" s="157" t="s">
        <v>1575</v>
      </c>
      <c r="E400" s="357">
        <v>46118</v>
      </c>
      <c r="F400" s="157">
        <v>4</v>
      </c>
    </row>
    <row r="401" spans="1:6" x14ac:dyDescent="0.2">
      <c r="A401" s="157" t="s">
        <v>1063</v>
      </c>
      <c r="B401" s="157" t="s">
        <v>192</v>
      </c>
      <c r="C401" s="157" t="s">
        <v>885</v>
      </c>
      <c r="D401" s="157" t="s">
        <v>1629</v>
      </c>
      <c r="E401" s="357">
        <v>46118</v>
      </c>
      <c r="F401" s="157" t="s">
        <v>360</v>
      </c>
    </row>
    <row r="402" spans="1:6" x14ac:dyDescent="0.2">
      <c r="A402" s="157" t="s">
        <v>860</v>
      </c>
      <c r="B402" s="157" t="s">
        <v>192</v>
      </c>
      <c r="C402" s="157" t="s">
        <v>157</v>
      </c>
      <c r="D402" s="157" t="s">
        <v>1630</v>
      </c>
      <c r="E402" s="357">
        <v>46119</v>
      </c>
      <c r="F402" s="157">
        <v>3</v>
      </c>
    </row>
    <row r="403" spans="1:6" x14ac:dyDescent="0.2">
      <c r="A403" s="157" t="s">
        <v>860</v>
      </c>
      <c r="B403" s="157" t="s">
        <v>1081</v>
      </c>
      <c r="C403" s="157" t="s">
        <v>643</v>
      </c>
      <c r="D403" s="157" t="s">
        <v>1631</v>
      </c>
      <c r="E403" s="357">
        <v>46119</v>
      </c>
      <c r="F403" s="157" t="s">
        <v>360</v>
      </c>
    </row>
    <row r="404" spans="1:6" x14ac:dyDescent="0.2">
      <c r="A404" s="157" t="s">
        <v>31</v>
      </c>
      <c r="B404" s="157" t="s">
        <v>286</v>
      </c>
      <c r="C404" s="157" t="s">
        <v>56</v>
      </c>
      <c r="D404" s="157" t="s">
        <v>1632</v>
      </c>
      <c r="E404" s="357">
        <v>46119</v>
      </c>
      <c r="F404" s="157">
        <v>4</v>
      </c>
    </row>
    <row r="405" spans="1:6" x14ac:dyDescent="0.2">
      <c r="A405" s="157" t="s">
        <v>31</v>
      </c>
      <c r="B405" s="157" t="s">
        <v>192</v>
      </c>
      <c r="C405" s="157" t="s">
        <v>1480</v>
      </c>
      <c r="D405" s="157" t="s">
        <v>1633</v>
      </c>
      <c r="E405" s="357">
        <v>46119</v>
      </c>
      <c r="F405" s="157">
        <v>4</v>
      </c>
    </row>
    <row r="406" spans="1:6" x14ac:dyDescent="0.2">
      <c r="A406" s="157" t="s">
        <v>31</v>
      </c>
      <c r="B406" s="157" t="s">
        <v>358</v>
      </c>
      <c r="C406" s="157" t="s">
        <v>1262</v>
      </c>
      <c r="D406" s="157" t="s">
        <v>1634</v>
      </c>
      <c r="E406" s="357">
        <v>46119</v>
      </c>
      <c r="F406" s="157">
        <v>4</v>
      </c>
    </row>
    <row r="407" spans="1:6" x14ac:dyDescent="0.2">
      <c r="A407" s="157" t="s">
        <v>1063</v>
      </c>
      <c r="B407" s="157" t="s">
        <v>1081</v>
      </c>
      <c r="C407" s="157" t="s">
        <v>155</v>
      </c>
      <c r="D407" s="157" t="s">
        <v>1635</v>
      </c>
      <c r="E407" s="357">
        <v>46119</v>
      </c>
      <c r="F407" s="157" t="s">
        <v>360</v>
      </c>
    </row>
    <row r="408" spans="1:6" x14ac:dyDescent="0.2">
      <c r="A408" s="157" t="s">
        <v>1063</v>
      </c>
      <c r="B408" s="157" t="s">
        <v>358</v>
      </c>
      <c r="C408" s="157" t="s">
        <v>1150</v>
      </c>
      <c r="D408" s="157" t="s">
        <v>1636</v>
      </c>
      <c r="E408" s="357">
        <v>46119</v>
      </c>
      <c r="F408" s="157">
        <v>4</v>
      </c>
    </row>
    <row r="409" spans="1:6" x14ac:dyDescent="0.2">
      <c r="A409" s="157" t="s">
        <v>1063</v>
      </c>
      <c r="B409" s="157" t="s">
        <v>205</v>
      </c>
      <c r="C409" s="157" t="s">
        <v>1446</v>
      </c>
      <c r="D409" s="157" t="s">
        <v>1637</v>
      </c>
      <c r="E409" s="357">
        <v>46120</v>
      </c>
      <c r="F409" s="157">
        <v>3</v>
      </c>
    </row>
    <row r="410" spans="1:6" x14ac:dyDescent="0.2">
      <c r="A410" s="157" t="s">
        <v>1063</v>
      </c>
      <c r="B410" s="157" t="s">
        <v>205</v>
      </c>
      <c r="C410" s="157" t="s">
        <v>1398</v>
      </c>
      <c r="D410" s="157" t="s">
        <v>1483</v>
      </c>
      <c r="E410" s="357">
        <v>46120</v>
      </c>
      <c r="F410" s="157" t="s">
        <v>1599</v>
      </c>
    </row>
    <row r="411" spans="1:6" x14ac:dyDescent="0.2">
      <c r="A411" s="157" t="s">
        <v>1063</v>
      </c>
      <c r="B411" s="157" t="s">
        <v>1081</v>
      </c>
      <c r="C411" s="157" t="s">
        <v>155</v>
      </c>
      <c r="D411" s="157" t="s">
        <v>1638</v>
      </c>
      <c r="E411" s="357">
        <v>46120</v>
      </c>
      <c r="F411" s="157" t="s">
        <v>360</v>
      </c>
    </row>
    <row r="412" spans="1:6" x14ac:dyDescent="0.2">
      <c r="A412" s="157" t="s">
        <v>1063</v>
      </c>
      <c r="B412" s="157" t="s">
        <v>286</v>
      </c>
      <c r="C412" s="157" t="s">
        <v>155</v>
      </c>
      <c r="D412" s="157" t="s">
        <v>1639</v>
      </c>
      <c r="E412" s="357">
        <v>46120</v>
      </c>
      <c r="F412" s="157" t="s">
        <v>360</v>
      </c>
    </row>
    <row r="413" spans="1:6" x14ac:dyDescent="0.2">
      <c r="A413" s="157" t="s">
        <v>1063</v>
      </c>
      <c r="B413" s="157" t="s">
        <v>358</v>
      </c>
      <c r="C413" s="157" t="s">
        <v>1383</v>
      </c>
      <c r="D413" s="157" t="s">
        <v>1640</v>
      </c>
      <c r="E413" s="357">
        <v>46120</v>
      </c>
      <c r="F413" s="157">
        <v>4</v>
      </c>
    </row>
    <row r="414" spans="1:6" x14ac:dyDescent="0.2">
      <c r="A414" s="157" t="s">
        <v>1459</v>
      </c>
      <c r="B414" s="157" t="s">
        <v>205</v>
      </c>
      <c r="C414" s="157" t="s">
        <v>55</v>
      </c>
      <c r="D414" s="157" t="s">
        <v>1641</v>
      </c>
      <c r="E414" s="357">
        <v>46121</v>
      </c>
      <c r="F414" s="157">
        <v>3</v>
      </c>
    </row>
    <row r="415" spans="1:6" x14ac:dyDescent="0.2">
      <c r="A415" s="157" t="s">
        <v>860</v>
      </c>
      <c r="B415" s="157" t="s">
        <v>273</v>
      </c>
      <c r="C415" s="157" t="s">
        <v>643</v>
      </c>
      <c r="D415" s="157" t="s">
        <v>1642</v>
      </c>
      <c r="E415" s="357">
        <v>46121</v>
      </c>
      <c r="F415" s="157" t="s">
        <v>360</v>
      </c>
    </row>
    <row r="416" spans="1:6" x14ac:dyDescent="0.2">
      <c r="A416" s="157" t="s">
        <v>1063</v>
      </c>
      <c r="B416" s="157" t="s">
        <v>205</v>
      </c>
      <c r="C416" s="157" t="s">
        <v>1446</v>
      </c>
      <c r="D416" s="157" t="s">
        <v>1643</v>
      </c>
      <c r="E416" s="357">
        <v>46121</v>
      </c>
      <c r="F416" s="157">
        <v>4</v>
      </c>
    </row>
    <row r="417" spans="1:6" x14ac:dyDescent="0.2">
      <c r="A417" s="157" t="s">
        <v>1063</v>
      </c>
      <c r="B417" s="157" t="s">
        <v>358</v>
      </c>
      <c r="C417" s="157" t="s">
        <v>1285</v>
      </c>
      <c r="D417" s="157" t="s">
        <v>1644</v>
      </c>
      <c r="E417" s="357">
        <v>46121</v>
      </c>
      <c r="F417" s="157">
        <v>4</v>
      </c>
    </row>
    <row r="418" spans="1:6" x14ac:dyDescent="0.2">
      <c r="A418" s="157" t="s">
        <v>1063</v>
      </c>
      <c r="B418" s="157" t="s">
        <v>358</v>
      </c>
      <c r="C418" s="157" t="s">
        <v>1383</v>
      </c>
      <c r="D418" s="157" t="s">
        <v>1645</v>
      </c>
      <c r="E418" s="357">
        <v>46121</v>
      </c>
      <c r="F418" s="157">
        <v>4</v>
      </c>
    </row>
    <row r="419" spans="1:6" x14ac:dyDescent="0.2">
      <c r="A419" s="157" t="s">
        <v>31</v>
      </c>
      <c r="B419" s="157" t="s">
        <v>205</v>
      </c>
      <c r="C419" s="157" t="s">
        <v>56</v>
      </c>
      <c r="D419" s="157" t="s">
        <v>1646</v>
      </c>
      <c r="E419" s="357">
        <v>46121</v>
      </c>
      <c r="F419" s="157">
        <v>4</v>
      </c>
    </row>
    <row r="420" spans="1:6" x14ac:dyDescent="0.2">
      <c r="A420" s="157" t="s">
        <v>31</v>
      </c>
      <c r="B420" s="157" t="s">
        <v>213</v>
      </c>
      <c r="C420" s="157" t="s">
        <v>1561</v>
      </c>
      <c r="D420" s="157" t="s">
        <v>1647</v>
      </c>
      <c r="E420" s="357">
        <v>46122</v>
      </c>
      <c r="F420" s="157">
        <v>4</v>
      </c>
    </row>
    <row r="421" spans="1:6" x14ac:dyDescent="0.2">
      <c r="A421" s="157" t="s">
        <v>31</v>
      </c>
      <c r="B421" s="157" t="s">
        <v>205</v>
      </c>
      <c r="C421" s="157" t="s">
        <v>1262</v>
      </c>
      <c r="D421" s="157" t="s">
        <v>1648</v>
      </c>
      <c r="E421" s="357">
        <v>46122</v>
      </c>
      <c r="F421" s="157">
        <v>1</v>
      </c>
    </row>
    <row r="422" spans="1:6" x14ac:dyDescent="0.2">
      <c r="A422" s="157" t="s">
        <v>1063</v>
      </c>
      <c r="B422" s="157" t="s">
        <v>205</v>
      </c>
      <c r="C422" s="157" t="s">
        <v>1285</v>
      </c>
      <c r="D422" s="157" t="s">
        <v>1649</v>
      </c>
      <c r="E422" s="357">
        <v>46122</v>
      </c>
      <c r="F422" s="157">
        <v>3</v>
      </c>
    </row>
    <row r="423" spans="1:6" x14ac:dyDescent="0.2">
      <c r="A423" s="157" t="s">
        <v>1063</v>
      </c>
      <c r="B423" s="157" t="s">
        <v>1081</v>
      </c>
      <c r="C423" s="157" t="s">
        <v>1150</v>
      </c>
      <c r="D423" s="157" t="s">
        <v>1650</v>
      </c>
      <c r="E423" s="357">
        <v>46122</v>
      </c>
      <c r="F423" s="157">
        <v>4</v>
      </c>
    </row>
    <row r="424" spans="1:6" x14ac:dyDescent="0.2">
      <c r="A424" s="157" t="s">
        <v>860</v>
      </c>
      <c r="B424" s="157" t="s">
        <v>192</v>
      </c>
      <c r="C424" s="157" t="s">
        <v>1248</v>
      </c>
      <c r="D424" s="157" t="s">
        <v>1651</v>
      </c>
      <c r="E424" s="357">
        <v>46122</v>
      </c>
      <c r="F424" s="157">
        <v>3</v>
      </c>
    </row>
    <row r="425" spans="1:6" x14ac:dyDescent="0.2">
      <c r="A425" s="347" t="s">
        <v>1148</v>
      </c>
      <c r="B425" s="347" t="s">
        <v>1178</v>
      </c>
      <c r="C425" s="347" t="s">
        <v>1120</v>
      </c>
      <c r="D425" s="347" t="s">
        <v>698</v>
      </c>
      <c r="E425" s="348">
        <v>46119</v>
      </c>
      <c r="F425" s="347"/>
    </row>
    <row r="426" spans="1:6" x14ac:dyDescent="0.2">
      <c r="A426" s="347" t="s">
        <v>1148</v>
      </c>
      <c r="B426" s="347" t="s">
        <v>1178</v>
      </c>
      <c r="C426" s="347" t="s">
        <v>1446</v>
      </c>
      <c r="D426" s="347" t="s">
        <v>698</v>
      </c>
      <c r="E426" s="348">
        <v>46119</v>
      </c>
      <c r="F426" s="347"/>
    </row>
    <row r="427" spans="1:6" x14ac:dyDescent="0.2">
      <c r="A427" s="347" t="s">
        <v>1504</v>
      </c>
      <c r="B427" s="347" t="s">
        <v>1281</v>
      </c>
      <c r="C427" s="347" t="s">
        <v>1626</v>
      </c>
      <c r="D427" s="347" t="s">
        <v>698</v>
      </c>
      <c r="E427" s="348">
        <v>46119</v>
      </c>
      <c r="F427" s="347"/>
    </row>
    <row r="428" spans="1:6" x14ac:dyDescent="0.2">
      <c r="A428" s="347" t="s">
        <v>1148</v>
      </c>
      <c r="B428" s="347" t="s">
        <v>1178</v>
      </c>
      <c r="C428" s="347" t="s">
        <v>1285</v>
      </c>
      <c r="D428" s="347" t="s">
        <v>698</v>
      </c>
      <c r="E428" s="348">
        <v>46119</v>
      </c>
      <c r="F428" s="347"/>
    </row>
    <row r="429" spans="1:6" x14ac:dyDescent="0.2">
      <c r="A429" s="347" t="s">
        <v>1244</v>
      </c>
      <c r="B429" s="347" t="s">
        <v>1281</v>
      </c>
      <c r="C429" s="347" t="s">
        <v>1627</v>
      </c>
      <c r="D429" s="347" t="s">
        <v>698</v>
      </c>
      <c r="E429" s="348">
        <v>46120</v>
      </c>
      <c r="F429" s="347"/>
    </row>
    <row r="430" spans="1:6" x14ac:dyDescent="0.2">
      <c r="A430" s="347" t="s">
        <v>1148</v>
      </c>
      <c r="B430" s="347" t="s">
        <v>1562</v>
      </c>
      <c r="C430" s="347" t="s">
        <v>885</v>
      </c>
      <c r="D430" s="347" t="s">
        <v>698</v>
      </c>
      <c r="E430" s="348">
        <v>46120</v>
      </c>
      <c r="F430" s="347"/>
    </row>
    <row r="431" spans="1:6" x14ac:dyDescent="0.2">
      <c r="A431" s="347" t="s">
        <v>1148</v>
      </c>
      <c r="B431" s="347" t="s">
        <v>1562</v>
      </c>
      <c r="C431" s="347" t="s">
        <v>1262</v>
      </c>
      <c r="D431" s="347" t="s">
        <v>698</v>
      </c>
      <c r="E431" s="348">
        <v>46120</v>
      </c>
      <c r="F431" s="347"/>
    </row>
    <row r="432" spans="1:6" x14ac:dyDescent="0.2">
      <c r="A432" s="347" t="s">
        <v>1442</v>
      </c>
      <c r="B432" s="347" t="s">
        <v>1652</v>
      </c>
      <c r="C432" s="347" t="s">
        <v>1120</v>
      </c>
      <c r="D432" s="347" t="s">
        <v>698</v>
      </c>
      <c r="E432" s="348">
        <v>46121</v>
      </c>
      <c r="F432" s="347"/>
    </row>
    <row r="433" spans="1:6" x14ac:dyDescent="0.2">
      <c r="A433" s="347" t="s">
        <v>1261</v>
      </c>
      <c r="B433" s="347" t="s">
        <v>656</v>
      </c>
      <c r="C433" s="347" t="s">
        <v>1653</v>
      </c>
      <c r="D433" s="347" t="s">
        <v>698</v>
      </c>
      <c r="E433" s="348">
        <v>46121</v>
      </c>
      <c r="F433" s="347"/>
    </row>
    <row r="434" spans="1:6" x14ac:dyDescent="0.2">
      <c r="A434" s="347" t="s">
        <v>1148</v>
      </c>
      <c r="B434" s="347" t="s">
        <v>1178</v>
      </c>
      <c r="C434" s="347" t="s">
        <v>1505</v>
      </c>
      <c r="D434" s="347" t="s">
        <v>698</v>
      </c>
      <c r="E434" s="348">
        <v>46122</v>
      </c>
      <c r="F434" s="347"/>
    </row>
    <row r="435" spans="1:6" x14ac:dyDescent="0.2">
      <c r="A435" s="347" t="s">
        <v>1148</v>
      </c>
      <c r="B435" s="347" t="s">
        <v>1281</v>
      </c>
      <c r="C435" s="347" t="s">
        <v>1595</v>
      </c>
      <c r="D435" s="347" t="s">
        <v>698</v>
      </c>
      <c r="E435" s="348">
        <v>46122</v>
      </c>
      <c r="F435" s="347"/>
    </row>
    <row r="436" spans="1:6" x14ac:dyDescent="0.2">
      <c r="A436" s="346" t="s">
        <v>657</v>
      </c>
      <c r="B436" s="346" t="s">
        <v>657</v>
      </c>
      <c r="C436" s="346" t="s">
        <v>657</v>
      </c>
      <c r="D436" s="346" t="s">
        <v>657</v>
      </c>
      <c r="E436" s="346" t="s">
        <v>657</v>
      </c>
      <c r="F436" s="346" t="s">
        <v>657</v>
      </c>
    </row>
    <row r="437" spans="1:6" x14ac:dyDescent="0.2">
      <c r="A437" s="157" t="s">
        <v>1459</v>
      </c>
      <c r="B437" s="157" t="s">
        <v>202</v>
      </c>
      <c r="C437" s="157" t="s">
        <v>1505</v>
      </c>
      <c r="D437" s="157" t="s">
        <v>1654</v>
      </c>
      <c r="E437" s="357">
        <v>46125</v>
      </c>
      <c r="F437" s="157">
        <v>4</v>
      </c>
    </row>
    <row r="438" spans="1:6" x14ac:dyDescent="0.2">
      <c r="A438" s="157" t="s">
        <v>1063</v>
      </c>
      <c r="B438" s="157" t="s">
        <v>205</v>
      </c>
      <c r="C438" s="157" t="s">
        <v>155</v>
      </c>
      <c r="D438" s="157" t="s">
        <v>1655</v>
      </c>
      <c r="E438" s="357">
        <v>46125</v>
      </c>
      <c r="F438" s="157" t="s">
        <v>360</v>
      </c>
    </row>
    <row r="439" spans="1:6" x14ac:dyDescent="0.2">
      <c r="A439" s="157" t="s">
        <v>860</v>
      </c>
      <c r="B439" s="157" t="s">
        <v>273</v>
      </c>
      <c r="C439" s="157" t="s">
        <v>1574</v>
      </c>
      <c r="D439" s="157" t="s">
        <v>1656</v>
      </c>
      <c r="E439" s="357">
        <v>46125</v>
      </c>
      <c r="F439" s="157" t="s">
        <v>360</v>
      </c>
    </row>
    <row r="440" spans="1:6" x14ac:dyDescent="0.2">
      <c r="A440" s="157" t="s">
        <v>981</v>
      </c>
      <c r="B440" s="157" t="s">
        <v>390</v>
      </c>
      <c r="C440" s="157" t="s">
        <v>1398</v>
      </c>
      <c r="D440" s="157" t="s">
        <v>1657</v>
      </c>
      <c r="E440" s="357">
        <v>46125</v>
      </c>
      <c r="F440" s="157">
        <v>4</v>
      </c>
    </row>
    <row r="441" spans="1:6" x14ac:dyDescent="0.2">
      <c r="A441" s="157" t="s">
        <v>1459</v>
      </c>
      <c r="B441" s="157" t="s">
        <v>192</v>
      </c>
      <c r="C441" s="157" t="s">
        <v>1377</v>
      </c>
      <c r="D441" s="157" t="s">
        <v>1658</v>
      </c>
      <c r="E441" s="357">
        <v>46126</v>
      </c>
      <c r="F441" s="157" t="s">
        <v>360</v>
      </c>
    </row>
    <row r="442" spans="1:6" x14ac:dyDescent="0.2">
      <c r="A442" s="157" t="s">
        <v>1063</v>
      </c>
      <c r="B442" s="157" t="s">
        <v>286</v>
      </c>
      <c r="C442" s="157" t="s">
        <v>1150</v>
      </c>
      <c r="D442" s="157" t="s">
        <v>1659</v>
      </c>
      <c r="E442" s="357">
        <v>46126</v>
      </c>
      <c r="F442" s="157">
        <v>4</v>
      </c>
    </row>
    <row r="443" spans="1:6" x14ac:dyDescent="0.2">
      <c r="A443" s="157" t="s">
        <v>1063</v>
      </c>
      <c r="B443" s="157" t="s">
        <v>257</v>
      </c>
      <c r="C443" s="157" t="s">
        <v>1446</v>
      </c>
      <c r="D443" s="157" t="s">
        <v>1660</v>
      </c>
      <c r="E443" s="357">
        <v>46126</v>
      </c>
      <c r="F443" s="157">
        <v>37</v>
      </c>
    </row>
    <row r="444" spans="1:6" x14ac:dyDescent="0.2">
      <c r="A444" s="157" t="s">
        <v>31</v>
      </c>
      <c r="B444" s="157" t="s">
        <v>192</v>
      </c>
      <c r="C444" s="157" t="s">
        <v>1480</v>
      </c>
      <c r="D444" s="157" t="s">
        <v>1661</v>
      </c>
      <c r="E444" s="357">
        <v>46126</v>
      </c>
      <c r="F444" s="157">
        <v>3</v>
      </c>
    </row>
    <row r="445" spans="1:6" x14ac:dyDescent="0.2">
      <c r="A445" s="157" t="s">
        <v>31</v>
      </c>
      <c r="B445" s="157" t="s">
        <v>1292</v>
      </c>
      <c r="C445" s="157" t="s">
        <v>830</v>
      </c>
      <c r="D445" s="157" t="s">
        <v>1662</v>
      </c>
      <c r="E445" s="357">
        <v>46126</v>
      </c>
      <c r="F445" s="157" t="s">
        <v>1663</v>
      </c>
    </row>
    <row r="446" spans="1:6" x14ac:dyDescent="0.2">
      <c r="A446" s="157" t="s">
        <v>860</v>
      </c>
      <c r="B446" s="157" t="s">
        <v>273</v>
      </c>
      <c r="C446" s="157" t="s">
        <v>1009</v>
      </c>
      <c r="D446" s="157" t="s">
        <v>1465</v>
      </c>
      <c r="E446" s="357">
        <v>46126</v>
      </c>
      <c r="F446" s="157" t="s">
        <v>360</v>
      </c>
    </row>
    <row r="447" spans="1:6" x14ac:dyDescent="0.2">
      <c r="A447" s="157" t="s">
        <v>860</v>
      </c>
      <c r="B447" s="157" t="s">
        <v>192</v>
      </c>
      <c r="C447" s="157" t="s">
        <v>838</v>
      </c>
      <c r="D447" s="157" t="s">
        <v>1509</v>
      </c>
      <c r="E447" s="357">
        <v>46126</v>
      </c>
      <c r="F447" s="157">
        <v>4</v>
      </c>
    </row>
    <row r="448" spans="1:6" x14ac:dyDescent="0.2">
      <c r="A448" s="157" t="s">
        <v>860</v>
      </c>
      <c r="B448" s="157" t="s">
        <v>192</v>
      </c>
      <c r="C448" s="157" t="s">
        <v>1392</v>
      </c>
      <c r="D448" s="157" t="s">
        <v>1214</v>
      </c>
      <c r="E448" s="357">
        <v>46126</v>
      </c>
      <c r="F448" s="157">
        <v>4</v>
      </c>
    </row>
    <row r="449" spans="1:6" x14ac:dyDescent="0.2">
      <c r="A449" s="157" t="s">
        <v>1063</v>
      </c>
      <c r="B449" s="157" t="s">
        <v>230</v>
      </c>
      <c r="C449" s="157" t="s">
        <v>1150</v>
      </c>
      <c r="D449" s="157" t="s">
        <v>1664</v>
      </c>
      <c r="E449" s="357">
        <v>46127</v>
      </c>
      <c r="F449" s="157">
        <v>4</v>
      </c>
    </row>
    <row r="450" spans="1:6" x14ac:dyDescent="0.2">
      <c r="A450" s="157" t="s">
        <v>860</v>
      </c>
      <c r="B450" s="157" t="s">
        <v>192</v>
      </c>
      <c r="C450" s="157" t="s">
        <v>1574</v>
      </c>
      <c r="D450" s="157" t="s">
        <v>1665</v>
      </c>
      <c r="E450" s="357">
        <v>46127</v>
      </c>
      <c r="F450" s="157">
        <v>4</v>
      </c>
    </row>
    <row r="451" spans="1:6" x14ac:dyDescent="0.2">
      <c r="A451" s="157" t="s">
        <v>860</v>
      </c>
      <c r="B451" s="157" t="s">
        <v>230</v>
      </c>
      <c r="C451" s="157" t="s">
        <v>157</v>
      </c>
      <c r="D451" s="157" t="s">
        <v>1666</v>
      </c>
      <c r="E451" s="357">
        <v>46127</v>
      </c>
      <c r="F451" s="157">
        <v>4</v>
      </c>
    </row>
    <row r="452" spans="1:6" x14ac:dyDescent="0.2">
      <c r="A452" s="157" t="s">
        <v>860</v>
      </c>
      <c r="B452" s="157" t="s">
        <v>192</v>
      </c>
      <c r="C452" s="157" t="s">
        <v>1248</v>
      </c>
      <c r="D452" s="157" t="s">
        <v>1667</v>
      </c>
      <c r="E452" s="357">
        <v>46127</v>
      </c>
      <c r="F452" s="157">
        <v>4</v>
      </c>
    </row>
    <row r="453" spans="1:6" x14ac:dyDescent="0.2">
      <c r="A453" s="157" t="s">
        <v>860</v>
      </c>
      <c r="B453" s="157" t="s">
        <v>192</v>
      </c>
      <c r="C453" s="157" t="s">
        <v>1668</v>
      </c>
      <c r="D453" s="157" t="s">
        <v>1669</v>
      </c>
      <c r="E453" s="357">
        <v>46127</v>
      </c>
      <c r="F453" s="157" t="s">
        <v>360</v>
      </c>
    </row>
    <row r="454" spans="1:6" x14ac:dyDescent="0.2">
      <c r="A454" s="157" t="s">
        <v>860</v>
      </c>
      <c r="B454" s="157" t="s">
        <v>192</v>
      </c>
      <c r="C454" s="157" t="s">
        <v>1392</v>
      </c>
      <c r="D454" s="157" t="s">
        <v>1670</v>
      </c>
      <c r="E454" s="357">
        <v>46127</v>
      </c>
      <c r="F454" s="157">
        <v>4</v>
      </c>
    </row>
    <row r="455" spans="1:6" x14ac:dyDescent="0.2">
      <c r="A455" s="157" t="s">
        <v>1063</v>
      </c>
      <c r="B455" s="157" t="s">
        <v>205</v>
      </c>
      <c r="C455" s="157" t="s">
        <v>1446</v>
      </c>
      <c r="D455" s="157" t="s">
        <v>1671</v>
      </c>
      <c r="E455" s="357">
        <v>46128</v>
      </c>
      <c r="F455" s="157">
        <v>4</v>
      </c>
    </row>
    <row r="456" spans="1:6" x14ac:dyDescent="0.2">
      <c r="A456" s="157" t="s">
        <v>1063</v>
      </c>
      <c r="B456" s="157" t="s">
        <v>1081</v>
      </c>
      <c r="C456" s="157" t="s">
        <v>1285</v>
      </c>
      <c r="D456" s="157" t="s">
        <v>1672</v>
      </c>
      <c r="E456" s="357">
        <v>46128</v>
      </c>
      <c r="F456" s="157">
        <v>3</v>
      </c>
    </row>
    <row r="457" spans="1:6" x14ac:dyDescent="0.2">
      <c r="A457" s="157" t="s">
        <v>1063</v>
      </c>
      <c r="B457" s="157" t="s">
        <v>1081</v>
      </c>
      <c r="C457" s="157" t="s">
        <v>1383</v>
      </c>
      <c r="D457" s="157" t="s">
        <v>1673</v>
      </c>
      <c r="E457" s="357">
        <v>46128</v>
      </c>
      <c r="F457" s="157">
        <v>4</v>
      </c>
    </row>
    <row r="458" spans="1:6" x14ac:dyDescent="0.2">
      <c r="A458" s="157" t="s">
        <v>1459</v>
      </c>
      <c r="B458" s="157" t="s">
        <v>250</v>
      </c>
      <c r="C458" s="157" t="s">
        <v>1377</v>
      </c>
      <c r="D458" s="157" t="s">
        <v>1674</v>
      </c>
      <c r="E458" s="357">
        <v>46128</v>
      </c>
      <c r="F458" s="157" t="s">
        <v>360</v>
      </c>
    </row>
    <row r="459" spans="1:6" x14ac:dyDescent="0.2">
      <c r="A459" s="157" t="s">
        <v>1459</v>
      </c>
      <c r="B459" s="157" t="s">
        <v>192</v>
      </c>
      <c r="C459" s="157" t="s">
        <v>1626</v>
      </c>
      <c r="D459" s="157" t="s">
        <v>1675</v>
      </c>
      <c r="E459" s="357">
        <v>46128</v>
      </c>
      <c r="F459" s="157">
        <v>4</v>
      </c>
    </row>
    <row r="460" spans="1:6" x14ac:dyDescent="0.2">
      <c r="A460" s="157" t="s">
        <v>860</v>
      </c>
      <c r="B460" s="157" t="s">
        <v>230</v>
      </c>
      <c r="C460" s="157" t="s">
        <v>157</v>
      </c>
      <c r="D460" s="157" t="s">
        <v>1676</v>
      </c>
      <c r="E460" s="357">
        <v>46128</v>
      </c>
      <c r="F460" s="157" t="s">
        <v>360</v>
      </c>
    </row>
    <row r="461" spans="1:6" x14ac:dyDescent="0.2">
      <c r="A461" s="157" t="s">
        <v>860</v>
      </c>
      <c r="B461" s="157" t="s">
        <v>192</v>
      </c>
      <c r="C461" s="157" t="s">
        <v>1574</v>
      </c>
      <c r="D461" s="157" t="s">
        <v>1677</v>
      </c>
      <c r="E461" s="357">
        <v>46128</v>
      </c>
      <c r="F461" s="157" t="s">
        <v>360</v>
      </c>
    </row>
    <row r="462" spans="1:6" x14ac:dyDescent="0.2">
      <c r="A462" s="157" t="s">
        <v>860</v>
      </c>
      <c r="B462" s="157" t="s">
        <v>192</v>
      </c>
      <c r="C462" s="157" t="s">
        <v>1678</v>
      </c>
      <c r="D462" s="157" t="s">
        <v>1679</v>
      </c>
      <c r="E462" s="357">
        <v>46128</v>
      </c>
      <c r="F462" s="157" t="s">
        <v>360</v>
      </c>
    </row>
    <row r="463" spans="1:6" x14ac:dyDescent="0.2">
      <c r="A463" s="157" t="s">
        <v>31</v>
      </c>
      <c r="B463" s="157" t="s">
        <v>192</v>
      </c>
      <c r="C463" s="157" t="s">
        <v>830</v>
      </c>
      <c r="D463" s="157" t="s">
        <v>1680</v>
      </c>
      <c r="E463" s="357">
        <v>46128</v>
      </c>
      <c r="F463" s="157" t="s">
        <v>1681</v>
      </c>
    </row>
    <row r="464" spans="1:6" x14ac:dyDescent="0.2">
      <c r="A464" s="157" t="s">
        <v>860</v>
      </c>
      <c r="B464" s="157" t="s">
        <v>192</v>
      </c>
      <c r="C464" s="157" t="s">
        <v>1574</v>
      </c>
      <c r="D464" s="157" t="s">
        <v>1682</v>
      </c>
      <c r="E464" s="357">
        <v>46128</v>
      </c>
      <c r="F464" s="157">
        <v>4</v>
      </c>
    </row>
    <row r="465" spans="1:6" x14ac:dyDescent="0.2">
      <c r="A465" s="157" t="s">
        <v>1459</v>
      </c>
      <c r="B465" s="157" t="s">
        <v>529</v>
      </c>
      <c r="C465" s="157" t="s">
        <v>1377</v>
      </c>
      <c r="D465" s="157" t="s">
        <v>1683</v>
      </c>
      <c r="E465" s="357">
        <v>46129</v>
      </c>
      <c r="F465" s="157" t="s">
        <v>360</v>
      </c>
    </row>
    <row r="466" spans="1:6" x14ac:dyDescent="0.2">
      <c r="A466" s="157" t="s">
        <v>860</v>
      </c>
      <c r="B466" s="157" t="s">
        <v>192</v>
      </c>
      <c r="C466" s="157" t="s">
        <v>838</v>
      </c>
      <c r="D466" s="157" t="s">
        <v>1684</v>
      </c>
      <c r="E466" s="357">
        <v>46129</v>
      </c>
      <c r="F466" s="157">
        <v>4</v>
      </c>
    </row>
    <row r="467" spans="1:6" x14ac:dyDescent="0.2">
      <c r="A467" s="157" t="s">
        <v>860</v>
      </c>
      <c r="B467" s="157" t="s">
        <v>192</v>
      </c>
      <c r="C467" s="157" t="s">
        <v>1574</v>
      </c>
      <c r="D467" s="157" t="s">
        <v>1685</v>
      </c>
      <c r="E467" s="357">
        <v>46129</v>
      </c>
      <c r="F467" s="157">
        <v>4</v>
      </c>
    </row>
    <row r="468" spans="1:6" x14ac:dyDescent="0.2">
      <c r="A468" s="157" t="s">
        <v>860</v>
      </c>
      <c r="B468" s="157" t="s">
        <v>192</v>
      </c>
      <c r="C468" s="157" t="s">
        <v>838</v>
      </c>
      <c r="D468" s="157" t="s">
        <v>1685</v>
      </c>
      <c r="E468" s="357">
        <v>46129</v>
      </c>
      <c r="F468" s="157">
        <v>4</v>
      </c>
    </row>
    <row r="469" spans="1:6" x14ac:dyDescent="0.2">
      <c r="A469" s="157" t="s">
        <v>1459</v>
      </c>
      <c r="B469" s="157" t="s">
        <v>250</v>
      </c>
      <c r="C469" s="157" t="s">
        <v>1505</v>
      </c>
      <c r="D469" s="157" t="s">
        <v>1686</v>
      </c>
      <c r="E469" s="357">
        <v>46129</v>
      </c>
      <c r="F469" s="157">
        <v>3</v>
      </c>
    </row>
    <row r="470" spans="1:6" x14ac:dyDescent="0.2">
      <c r="A470" s="347" t="s">
        <v>1148</v>
      </c>
      <c r="B470" s="347" t="s">
        <v>1562</v>
      </c>
      <c r="C470" s="347" t="s">
        <v>1563</v>
      </c>
      <c r="D470" s="347" t="s">
        <v>698</v>
      </c>
      <c r="E470" s="348">
        <v>46125</v>
      </c>
      <c r="F470" s="347"/>
    </row>
    <row r="471" spans="1:6" x14ac:dyDescent="0.2">
      <c r="A471" s="347" t="s">
        <v>1148</v>
      </c>
      <c r="B471" s="347" t="s">
        <v>1178</v>
      </c>
      <c r="C471" s="347" t="s">
        <v>1398</v>
      </c>
      <c r="D471" s="347" t="s">
        <v>698</v>
      </c>
      <c r="E471" s="348">
        <v>46125</v>
      </c>
      <c r="F471" s="347"/>
    </row>
    <row r="472" spans="1:6" x14ac:dyDescent="0.2">
      <c r="A472" s="347" t="s">
        <v>1148</v>
      </c>
      <c r="B472" s="347" t="s">
        <v>1687</v>
      </c>
      <c r="C472" s="347" t="s">
        <v>1211</v>
      </c>
      <c r="D472" s="347" t="s">
        <v>698</v>
      </c>
      <c r="E472" s="348">
        <v>46126</v>
      </c>
      <c r="F472" s="347"/>
    </row>
    <row r="473" spans="1:6" x14ac:dyDescent="0.2">
      <c r="A473" s="347" t="s">
        <v>1148</v>
      </c>
      <c r="B473" s="347" t="s">
        <v>1178</v>
      </c>
      <c r="C473" s="347" t="s">
        <v>1561</v>
      </c>
      <c r="D473" s="347" t="s">
        <v>698</v>
      </c>
      <c r="E473" s="348">
        <v>46126</v>
      </c>
      <c r="F473" s="347"/>
    </row>
    <row r="474" spans="1:6" x14ac:dyDescent="0.2">
      <c r="A474" s="347" t="s">
        <v>1148</v>
      </c>
      <c r="B474" s="347" t="s">
        <v>1178</v>
      </c>
      <c r="C474" s="347" t="s">
        <v>1262</v>
      </c>
      <c r="D474" s="347" t="s">
        <v>698</v>
      </c>
      <c r="E474" s="348">
        <v>46126</v>
      </c>
      <c r="F474" s="347"/>
    </row>
    <row r="475" spans="1:6" x14ac:dyDescent="0.2">
      <c r="A475" s="347" t="s">
        <v>1148</v>
      </c>
      <c r="B475" s="347" t="s">
        <v>656</v>
      </c>
      <c r="C475" s="347" t="s">
        <v>1688</v>
      </c>
      <c r="D475" s="347" t="s">
        <v>698</v>
      </c>
      <c r="E475" s="348">
        <v>46126</v>
      </c>
      <c r="F475" s="347"/>
    </row>
    <row r="476" spans="1:6" x14ac:dyDescent="0.2">
      <c r="A476" s="347" t="s">
        <v>1148</v>
      </c>
      <c r="B476" s="347" t="s">
        <v>1281</v>
      </c>
      <c r="C476" s="347" t="s">
        <v>1628</v>
      </c>
      <c r="D476" s="347" t="s">
        <v>698</v>
      </c>
      <c r="E476" s="348">
        <v>46128</v>
      </c>
      <c r="F476" s="347"/>
    </row>
    <row r="477" spans="1:6" x14ac:dyDescent="0.2">
      <c r="A477" s="347" t="s">
        <v>1148</v>
      </c>
      <c r="B477" s="347" t="s">
        <v>1281</v>
      </c>
      <c r="C477" s="347" t="s">
        <v>1653</v>
      </c>
      <c r="D477" s="347" t="s">
        <v>698</v>
      </c>
      <c r="E477" s="348">
        <v>46128</v>
      </c>
      <c r="F477" s="347"/>
    </row>
    <row r="478" spans="1:6" x14ac:dyDescent="0.2">
      <c r="A478" s="347" t="s">
        <v>1148</v>
      </c>
      <c r="B478" s="347" t="s">
        <v>1178</v>
      </c>
      <c r="C478" s="347" t="s">
        <v>1248</v>
      </c>
      <c r="D478" s="347" t="s">
        <v>698</v>
      </c>
      <c r="E478" s="348">
        <v>46129</v>
      </c>
      <c r="F478" s="347"/>
    </row>
    <row r="479" spans="1:6" x14ac:dyDescent="0.2">
      <c r="A479" s="347" t="s">
        <v>1148</v>
      </c>
      <c r="B479" s="347" t="s">
        <v>1178</v>
      </c>
      <c r="C479" s="347" t="s">
        <v>1595</v>
      </c>
      <c r="D479" s="347" t="s">
        <v>698</v>
      </c>
      <c r="E479" s="348">
        <v>46129</v>
      </c>
      <c r="F479" s="347"/>
    </row>
    <row r="480" spans="1:6" x14ac:dyDescent="0.2">
      <c r="A480" s="346" t="s">
        <v>670</v>
      </c>
      <c r="B480" s="346" t="s">
        <v>670</v>
      </c>
      <c r="C480" s="346" t="s">
        <v>670</v>
      </c>
      <c r="D480" s="346" t="s">
        <v>670</v>
      </c>
      <c r="E480" s="346" t="s">
        <v>670</v>
      </c>
      <c r="F480" s="346" t="s">
        <v>670</v>
      </c>
    </row>
    <row r="481" spans="1:6" x14ac:dyDescent="0.2">
      <c r="A481" s="157" t="s">
        <v>860</v>
      </c>
      <c r="B481" s="157" t="s">
        <v>192</v>
      </c>
      <c r="C481" s="157" t="s">
        <v>1678</v>
      </c>
      <c r="D481" s="157" t="s">
        <v>1689</v>
      </c>
      <c r="E481" s="357">
        <v>46132</v>
      </c>
      <c r="F481" s="157">
        <v>3</v>
      </c>
    </row>
    <row r="482" spans="1:6" x14ac:dyDescent="0.2">
      <c r="A482" s="157" t="s">
        <v>860</v>
      </c>
      <c r="B482" s="157" t="s">
        <v>192</v>
      </c>
      <c r="C482" s="157" t="s">
        <v>838</v>
      </c>
      <c r="D482" s="157" t="s">
        <v>1689</v>
      </c>
      <c r="E482" s="357">
        <v>46132</v>
      </c>
      <c r="F482" s="157">
        <v>4</v>
      </c>
    </row>
    <row r="483" spans="1:6" x14ac:dyDescent="0.2">
      <c r="A483" s="157" t="s">
        <v>1063</v>
      </c>
      <c r="B483" s="157" t="s">
        <v>383</v>
      </c>
      <c r="C483" s="157" t="s">
        <v>155</v>
      </c>
      <c r="D483" s="157" t="s">
        <v>1690</v>
      </c>
      <c r="E483" s="357">
        <v>46132</v>
      </c>
      <c r="F483" s="157" t="s">
        <v>360</v>
      </c>
    </row>
    <row r="484" spans="1:6" x14ac:dyDescent="0.2">
      <c r="A484" s="157" t="s">
        <v>1063</v>
      </c>
      <c r="B484" s="157" t="s">
        <v>192</v>
      </c>
      <c r="C484" s="157" t="s">
        <v>1628</v>
      </c>
      <c r="D484" s="157" t="s">
        <v>1691</v>
      </c>
      <c r="E484" s="357">
        <v>46132</v>
      </c>
      <c r="F484" s="157" t="s">
        <v>1692</v>
      </c>
    </row>
    <row r="485" spans="1:6" x14ac:dyDescent="0.2">
      <c r="A485" s="157" t="s">
        <v>981</v>
      </c>
      <c r="B485" s="157" t="s">
        <v>205</v>
      </c>
      <c r="C485" s="157" t="s">
        <v>1398</v>
      </c>
      <c r="D485" s="157" t="s">
        <v>1693</v>
      </c>
      <c r="E485" s="357">
        <v>46133</v>
      </c>
      <c r="F485" s="157">
        <v>3</v>
      </c>
    </row>
    <row r="486" spans="1:6" x14ac:dyDescent="0.2">
      <c r="A486" s="157" t="s">
        <v>1063</v>
      </c>
      <c r="B486" s="157" t="s">
        <v>358</v>
      </c>
      <c r="C486" s="157" t="s">
        <v>1383</v>
      </c>
      <c r="D486" s="157" t="s">
        <v>1694</v>
      </c>
      <c r="E486" s="357">
        <v>46133</v>
      </c>
      <c r="F486" s="157">
        <v>4</v>
      </c>
    </row>
    <row r="487" spans="1:6" x14ac:dyDescent="0.2">
      <c r="A487" s="157" t="s">
        <v>1063</v>
      </c>
      <c r="B487" s="157" t="s">
        <v>192</v>
      </c>
      <c r="C487" s="157" t="s">
        <v>1383</v>
      </c>
      <c r="D487" s="157" t="s">
        <v>1695</v>
      </c>
      <c r="E487" s="357">
        <v>46133</v>
      </c>
      <c r="F487" s="157">
        <v>4</v>
      </c>
    </row>
    <row r="488" spans="1:6" x14ac:dyDescent="0.2">
      <c r="A488" s="157" t="s">
        <v>1063</v>
      </c>
      <c r="B488" s="157" t="s">
        <v>205</v>
      </c>
      <c r="C488" s="157" t="s">
        <v>1150</v>
      </c>
      <c r="D488" s="157" t="s">
        <v>1696</v>
      </c>
      <c r="E488" s="357">
        <v>46133</v>
      </c>
      <c r="F488" s="157">
        <v>4</v>
      </c>
    </row>
    <row r="489" spans="1:6" x14ac:dyDescent="0.2">
      <c r="A489" s="157" t="s">
        <v>31</v>
      </c>
      <c r="B489" s="157" t="s">
        <v>192</v>
      </c>
      <c r="C489" s="157" t="s">
        <v>830</v>
      </c>
      <c r="D489" s="157" t="s">
        <v>1697</v>
      </c>
      <c r="E489" s="357">
        <v>46133</v>
      </c>
      <c r="F489" s="157">
        <v>4</v>
      </c>
    </row>
    <row r="490" spans="1:6" x14ac:dyDescent="0.2">
      <c r="A490" s="157" t="s">
        <v>31</v>
      </c>
      <c r="B490" s="157" t="s">
        <v>358</v>
      </c>
      <c r="C490" s="157" t="s">
        <v>1211</v>
      </c>
      <c r="D490" s="157" t="s">
        <v>1698</v>
      </c>
      <c r="E490" s="357">
        <v>46133</v>
      </c>
      <c r="F490" s="157">
        <v>4</v>
      </c>
    </row>
    <row r="491" spans="1:6" x14ac:dyDescent="0.2">
      <c r="A491" s="157" t="s">
        <v>1063</v>
      </c>
      <c r="B491" s="157" t="s">
        <v>192</v>
      </c>
      <c r="C491" s="157" t="s">
        <v>1628</v>
      </c>
      <c r="D491" s="157" t="s">
        <v>1699</v>
      </c>
      <c r="E491" s="357">
        <v>46133</v>
      </c>
      <c r="F491" s="157" t="s">
        <v>1692</v>
      </c>
    </row>
    <row r="492" spans="1:6" x14ac:dyDescent="0.2">
      <c r="A492" s="157" t="s">
        <v>1063</v>
      </c>
      <c r="B492" s="157" t="s">
        <v>192</v>
      </c>
      <c r="C492" s="157" t="s">
        <v>1628</v>
      </c>
      <c r="D492" s="157" t="s">
        <v>1700</v>
      </c>
      <c r="E492" s="357">
        <v>46133</v>
      </c>
      <c r="F492" s="157" t="s">
        <v>1692</v>
      </c>
    </row>
    <row r="493" spans="1:6" x14ac:dyDescent="0.2">
      <c r="A493" s="157" t="s">
        <v>1063</v>
      </c>
      <c r="B493" s="157" t="s">
        <v>192</v>
      </c>
      <c r="C493" s="157" t="s">
        <v>1628</v>
      </c>
      <c r="D493" s="157" t="s">
        <v>1701</v>
      </c>
      <c r="E493" s="357">
        <v>46133</v>
      </c>
      <c r="F493" s="157" t="s">
        <v>1692</v>
      </c>
    </row>
    <row r="494" spans="1:6" x14ac:dyDescent="0.2">
      <c r="A494" s="157" t="s">
        <v>1063</v>
      </c>
      <c r="B494" s="157" t="s">
        <v>192</v>
      </c>
      <c r="C494" s="157" t="s">
        <v>1628</v>
      </c>
      <c r="D494" s="157" t="s">
        <v>1702</v>
      </c>
      <c r="E494" s="357">
        <v>46133</v>
      </c>
      <c r="F494" s="157" t="s">
        <v>1692</v>
      </c>
    </row>
    <row r="495" spans="1:6" x14ac:dyDescent="0.2">
      <c r="A495" s="157" t="s">
        <v>860</v>
      </c>
      <c r="B495" s="157" t="s">
        <v>192</v>
      </c>
      <c r="C495" s="157" t="s">
        <v>1248</v>
      </c>
      <c r="D495" s="157" t="s">
        <v>1703</v>
      </c>
      <c r="E495" s="357">
        <v>46133</v>
      </c>
      <c r="F495" s="157" t="s">
        <v>1692</v>
      </c>
    </row>
    <row r="496" spans="1:6" x14ac:dyDescent="0.2">
      <c r="A496" s="157" t="s">
        <v>860</v>
      </c>
      <c r="B496" s="157" t="s">
        <v>192</v>
      </c>
      <c r="C496" s="157" t="s">
        <v>1248</v>
      </c>
      <c r="D496" s="157" t="s">
        <v>1336</v>
      </c>
      <c r="E496" s="357">
        <v>46133</v>
      </c>
      <c r="F496" s="157" t="s">
        <v>1692</v>
      </c>
    </row>
    <row r="497" spans="1:6" x14ac:dyDescent="0.2">
      <c r="A497" s="157" t="s">
        <v>1063</v>
      </c>
      <c r="B497" s="157" t="s">
        <v>358</v>
      </c>
      <c r="C497" s="157" t="s">
        <v>1383</v>
      </c>
      <c r="D497" s="157" t="s">
        <v>1704</v>
      </c>
      <c r="E497" s="357">
        <v>46134</v>
      </c>
      <c r="F497" s="157">
        <v>2</v>
      </c>
    </row>
    <row r="498" spans="1:6" x14ac:dyDescent="0.2">
      <c r="A498" s="157" t="s">
        <v>31</v>
      </c>
      <c r="B498" s="157" t="s">
        <v>192</v>
      </c>
      <c r="C498" s="157" t="s">
        <v>830</v>
      </c>
      <c r="D498" s="157" t="s">
        <v>1705</v>
      </c>
      <c r="E498" s="357">
        <v>46134</v>
      </c>
      <c r="F498" s="157">
        <v>2</v>
      </c>
    </row>
    <row r="499" spans="1:6" x14ac:dyDescent="0.2">
      <c r="A499" s="157" t="s">
        <v>1063</v>
      </c>
      <c r="B499" s="157" t="s">
        <v>192</v>
      </c>
      <c r="C499" s="157" t="s">
        <v>1628</v>
      </c>
      <c r="D499" s="157" t="s">
        <v>1706</v>
      </c>
      <c r="E499" s="357">
        <v>46134</v>
      </c>
      <c r="F499" s="157" t="s">
        <v>1692</v>
      </c>
    </row>
    <row r="500" spans="1:6" x14ac:dyDescent="0.2">
      <c r="A500" s="157" t="s">
        <v>1063</v>
      </c>
      <c r="B500" s="157" t="s">
        <v>192</v>
      </c>
      <c r="C500" s="157" t="s">
        <v>1628</v>
      </c>
      <c r="D500" s="157" t="s">
        <v>1707</v>
      </c>
      <c r="E500" s="357">
        <v>46134</v>
      </c>
      <c r="F500" s="157" t="s">
        <v>1692</v>
      </c>
    </row>
    <row r="501" spans="1:6" x14ac:dyDescent="0.2">
      <c r="A501" s="157" t="s">
        <v>1063</v>
      </c>
      <c r="B501" s="157" t="s">
        <v>192</v>
      </c>
      <c r="C501" s="157" t="s">
        <v>1628</v>
      </c>
      <c r="D501" s="157" t="s">
        <v>1708</v>
      </c>
      <c r="E501" s="357">
        <v>46134</v>
      </c>
      <c r="F501" s="157" t="s">
        <v>1692</v>
      </c>
    </row>
    <row r="502" spans="1:6" x14ac:dyDescent="0.2">
      <c r="A502" s="157" t="s">
        <v>860</v>
      </c>
      <c r="B502" s="157" t="s">
        <v>192</v>
      </c>
      <c r="C502" s="157" t="s">
        <v>1248</v>
      </c>
      <c r="D502" s="157" t="s">
        <v>1709</v>
      </c>
      <c r="E502" s="357">
        <v>46134</v>
      </c>
      <c r="F502" s="157" t="s">
        <v>1692</v>
      </c>
    </row>
    <row r="503" spans="1:6" x14ac:dyDescent="0.2">
      <c r="A503" s="157" t="s">
        <v>860</v>
      </c>
      <c r="B503" s="157" t="s">
        <v>192</v>
      </c>
      <c r="C503" s="157" t="s">
        <v>1248</v>
      </c>
      <c r="D503" s="157" t="s">
        <v>1710</v>
      </c>
      <c r="E503" s="357">
        <v>46134</v>
      </c>
      <c r="F503" s="157" t="s">
        <v>1692</v>
      </c>
    </row>
    <row r="504" spans="1:6" x14ac:dyDescent="0.2">
      <c r="A504" s="157" t="s">
        <v>860</v>
      </c>
      <c r="B504" s="157" t="s">
        <v>192</v>
      </c>
      <c r="C504" s="157" t="s">
        <v>1248</v>
      </c>
      <c r="D504" s="157" t="s">
        <v>1711</v>
      </c>
      <c r="E504" s="357">
        <v>46134</v>
      </c>
      <c r="F504" s="157" t="s">
        <v>1692</v>
      </c>
    </row>
    <row r="505" spans="1:6" x14ac:dyDescent="0.2">
      <c r="A505" s="157" t="s">
        <v>860</v>
      </c>
      <c r="B505" s="157" t="s">
        <v>192</v>
      </c>
      <c r="C505" s="157" t="s">
        <v>1248</v>
      </c>
      <c r="D505" s="157" t="s">
        <v>1712</v>
      </c>
      <c r="E505" s="357">
        <v>46134</v>
      </c>
      <c r="F505" s="157" t="s">
        <v>1692</v>
      </c>
    </row>
    <row r="506" spans="1:6" x14ac:dyDescent="0.2">
      <c r="A506" s="157" t="s">
        <v>860</v>
      </c>
      <c r="B506" s="157" t="s">
        <v>192</v>
      </c>
      <c r="C506" s="157" t="s">
        <v>1248</v>
      </c>
      <c r="D506" s="157" t="s">
        <v>1713</v>
      </c>
      <c r="E506" s="357">
        <v>46134</v>
      </c>
      <c r="F506" s="157" t="s">
        <v>1692</v>
      </c>
    </row>
    <row r="507" spans="1:6" x14ac:dyDescent="0.2">
      <c r="A507" s="157" t="s">
        <v>860</v>
      </c>
      <c r="B507" s="157" t="s">
        <v>192</v>
      </c>
      <c r="C507" s="157" t="s">
        <v>1248</v>
      </c>
      <c r="D507" s="157" t="s">
        <v>1714</v>
      </c>
      <c r="E507" s="357">
        <v>46134</v>
      </c>
      <c r="F507" s="157" t="s">
        <v>1692</v>
      </c>
    </row>
    <row r="508" spans="1:6" x14ac:dyDescent="0.2">
      <c r="A508" s="157" t="s">
        <v>860</v>
      </c>
      <c r="B508" s="157" t="s">
        <v>192</v>
      </c>
      <c r="C508" s="157" t="s">
        <v>1248</v>
      </c>
      <c r="D508" s="157" t="s">
        <v>1606</v>
      </c>
      <c r="E508" s="357">
        <v>46134</v>
      </c>
      <c r="F508" s="157" t="s">
        <v>1692</v>
      </c>
    </row>
    <row r="509" spans="1:6" x14ac:dyDescent="0.2">
      <c r="A509" s="157" t="s">
        <v>31</v>
      </c>
      <c r="B509" s="157" t="s">
        <v>475</v>
      </c>
      <c r="C509" s="157" t="s">
        <v>1561</v>
      </c>
      <c r="D509" s="157" t="s">
        <v>1715</v>
      </c>
      <c r="E509" s="357">
        <v>46135</v>
      </c>
      <c r="F509" s="157">
        <v>3</v>
      </c>
    </row>
    <row r="510" spans="1:6" x14ac:dyDescent="0.2">
      <c r="A510" s="157" t="s">
        <v>1063</v>
      </c>
      <c r="B510" s="157" t="s">
        <v>383</v>
      </c>
      <c r="C510" s="157" t="s">
        <v>155</v>
      </c>
      <c r="D510" s="157" t="s">
        <v>1716</v>
      </c>
      <c r="E510" s="357">
        <v>46135</v>
      </c>
      <c r="F510" s="157" t="s">
        <v>360</v>
      </c>
    </row>
    <row r="511" spans="1:6" x14ac:dyDescent="0.2">
      <c r="A511" s="157" t="s">
        <v>1063</v>
      </c>
      <c r="B511" s="157" t="s">
        <v>192</v>
      </c>
      <c r="C511" s="157" t="s">
        <v>1628</v>
      </c>
      <c r="D511" s="157" t="s">
        <v>1717</v>
      </c>
      <c r="E511" s="357">
        <v>46135</v>
      </c>
      <c r="F511" s="157" t="s">
        <v>1692</v>
      </c>
    </row>
    <row r="512" spans="1:6" x14ac:dyDescent="0.2">
      <c r="A512" s="157" t="s">
        <v>1063</v>
      </c>
      <c r="B512" s="157" t="s">
        <v>192</v>
      </c>
      <c r="C512" s="157" t="s">
        <v>1628</v>
      </c>
      <c r="D512" s="157" t="s">
        <v>1718</v>
      </c>
      <c r="E512" s="357">
        <v>46135</v>
      </c>
      <c r="F512" s="157" t="s">
        <v>1692</v>
      </c>
    </row>
    <row r="513" spans="1:6" x14ac:dyDescent="0.2">
      <c r="A513" s="157" t="s">
        <v>1063</v>
      </c>
      <c r="B513" s="157" t="s">
        <v>192</v>
      </c>
      <c r="C513" s="157" t="s">
        <v>1628</v>
      </c>
      <c r="D513" s="157" t="s">
        <v>1719</v>
      </c>
      <c r="E513" s="357">
        <v>46135</v>
      </c>
      <c r="F513" s="157" t="s">
        <v>1692</v>
      </c>
    </row>
    <row r="514" spans="1:6" x14ac:dyDescent="0.2">
      <c r="A514" s="157" t="s">
        <v>1063</v>
      </c>
      <c r="B514" s="157" t="s">
        <v>192</v>
      </c>
      <c r="C514" s="157" t="s">
        <v>1628</v>
      </c>
      <c r="D514" s="157" t="s">
        <v>1720</v>
      </c>
      <c r="E514" s="357">
        <v>46135</v>
      </c>
      <c r="F514" s="157" t="s">
        <v>1692</v>
      </c>
    </row>
    <row r="515" spans="1:6" x14ac:dyDescent="0.2">
      <c r="A515" s="157" t="s">
        <v>860</v>
      </c>
      <c r="B515" s="157" t="s">
        <v>192</v>
      </c>
      <c r="C515" s="157" t="s">
        <v>157</v>
      </c>
      <c r="D515" s="157" t="s">
        <v>1721</v>
      </c>
      <c r="E515" s="357">
        <v>46135</v>
      </c>
      <c r="F515" s="157">
        <v>4</v>
      </c>
    </row>
    <row r="516" spans="1:6" x14ac:dyDescent="0.2">
      <c r="A516" s="157" t="s">
        <v>981</v>
      </c>
      <c r="B516" s="157" t="s">
        <v>205</v>
      </c>
      <c r="C516" s="157" t="s">
        <v>1262</v>
      </c>
      <c r="D516" s="157" t="s">
        <v>1722</v>
      </c>
      <c r="E516" s="357">
        <v>46136</v>
      </c>
      <c r="F516" s="157">
        <v>2</v>
      </c>
    </row>
    <row r="517" spans="1:6" x14ac:dyDescent="0.2">
      <c r="A517" s="157" t="s">
        <v>31</v>
      </c>
      <c r="B517" s="157" t="s">
        <v>213</v>
      </c>
      <c r="C517" s="157" t="s">
        <v>1561</v>
      </c>
      <c r="D517" s="157" t="s">
        <v>1723</v>
      </c>
      <c r="E517" s="357">
        <v>46136</v>
      </c>
      <c r="F517" s="157" t="s">
        <v>360</v>
      </c>
    </row>
    <row r="518" spans="1:6" x14ac:dyDescent="0.2">
      <c r="A518" s="157" t="s">
        <v>860</v>
      </c>
      <c r="B518" s="157" t="s">
        <v>192</v>
      </c>
      <c r="C518" s="157" t="s">
        <v>1678</v>
      </c>
      <c r="D518" s="157" t="s">
        <v>1724</v>
      </c>
      <c r="E518" s="357">
        <v>46136</v>
      </c>
      <c r="F518" s="157">
        <v>3</v>
      </c>
    </row>
    <row r="519" spans="1:6" x14ac:dyDescent="0.2">
      <c r="A519" s="157" t="s">
        <v>860</v>
      </c>
      <c r="B519" s="157" t="s">
        <v>213</v>
      </c>
      <c r="C519" s="157" t="s">
        <v>1392</v>
      </c>
      <c r="D519" s="157" t="s">
        <v>1725</v>
      </c>
      <c r="E519" s="357">
        <v>46136</v>
      </c>
      <c r="F519" s="157">
        <v>4</v>
      </c>
    </row>
    <row r="520" spans="1:6" x14ac:dyDescent="0.2">
      <c r="A520" s="347" t="s">
        <v>1148</v>
      </c>
      <c r="B520" s="347" t="s">
        <v>1178</v>
      </c>
      <c r="C520" s="347" t="s">
        <v>1377</v>
      </c>
      <c r="D520" s="347" t="s">
        <v>698</v>
      </c>
      <c r="E520" s="348">
        <v>46132</v>
      </c>
      <c r="F520" s="347"/>
    </row>
    <row r="521" spans="1:6" x14ac:dyDescent="0.2">
      <c r="A521" s="347" t="s">
        <v>1409</v>
      </c>
      <c r="B521" s="347" t="s">
        <v>1726</v>
      </c>
      <c r="C521" s="347" t="s">
        <v>1727</v>
      </c>
      <c r="D521" s="347" t="s">
        <v>698</v>
      </c>
      <c r="E521" s="358">
        <v>46132</v>
      </c>
      <c r="F521" s="347"/>
    </row>
    <row r="522" spans="1:6" x14ac:dyDescent="0.2">
      <c r="A522" s="347" t="s">
        <v>1590</v>
      </c>
      <c r="B522" s="347" t="s">
        <v>1728</v>
      </c>
      <c r="C522" s="347" t="s">
        <v>1729</v>
      </c>
      <c r="D522" s="347" t="s">
        <v>698</v>
      </c>
      <c r="E522" s="358">
        <v>46132</v>
      </c>
      <c r="F522" s="347"/>
    </row>
    <row r="523" spans="1:6" x14ac:dyDescent="0.2">
      <c r="A523" s="347" t="s">
        <v>1148</v>
      </c>
      <c r="B523" s="347" t="s">
        <v>1178</v>
      </c>
      <c r="C523" s="347" t="s">
        <v>1668</v>
      </c>
      <c r="D523" s="347" t="s">
        <v>698</v>
      </c>
      <c r="E523" s="358">
        <v>46133</v>
      </c>
      <c r="F523" s="347"/>
    </row>
    <row r="524" spans="1:6" x14ac:dyDescent="0.2">
      <c r="A524" s="347" t="s">
        <v>1148</v>
      </c>
      <c r="B524" s="347" t="s">
        <v>1562</v>
      </c>
      <c r="C524" s="358" t="s">
        <v>155</v>
      </c>
      <c r="D524" s="347" t="s">
        <v>698</v>
      </c>
      <c r="E524" s="358">
        <v>46133</v>
      </c>
      <c r="F524" s="347"/>
    </row>
    <row r="525" spans="1:6" x14ac:dyDescent="0.2">
      <c r="A525" s="347" t="s">
        <v>1148</v>
      </c>
      <c r="B525" s="347" t="s">
        <v>1562</v>
      </c>
      <c r="C525" s="347" t="s">
        <v>838</v>
      </c>
      <c r="D525" s="347" t="s">
        <v>698</v>
      </c>
      <c r="E525" s="358">
        <v>46133</v>
      </c>
      <c r="F525" s="347"/>
    </row>
    <row r="526" spans="1:6" x14ac:dyDescent="0.2">
      <c r="A526" s="347" t="s">
        <v>1148</v>
      </c>
      <c r="B526" s="347" t="s">
        <v>1728</v>
      </c>
      <c r="C526" s="347" t="s">
        <v>1730</v>
      </c>
      <c r="D526" s="347" t="s">
        <v>698</v>
      </c>
      <c r="E526" s="358">
        <v>46133</v>
      </c>
      <c r="F526" s="347"/>
    </row>
    <row r="527" spans="1:6" x14ac:dyDescent="0.2">
      <c r="A527" s="347" t="s">
        <v>1148</v>
      </c>
      <c r="B527" s="347" t="s">
        <v>1178</v>
      </c>
      <c r="C527" s="347" t="s">
        <v>155</v>
      </c>
      <c r="D527" s="347" t="s">
        <v>698</v>
      </c>
      <c r="E527" s="358">
        <v>46133</v>
      </c>
      <c r="F527" s="347"/>
    </row>
    <row r="528" spans="1:6" x14ac:dyDescent="0.2">
      <c r="A528" s="347" t="s">
        <v>1148</v>
      </c>
      <c r="B528" s="347" t="s">
        <v>1562</v>
      </c>
      <c r="C528" s="347" t="s">
        <v>1678</v>
      </c>
      <c r="D528" s="347" t="s">
        <v>698</v>
      </c>
      <c r="E528" s="358">
        <v>46134</v>
      </c>
      <c r="F528" s="347"/>
    </row>
    <row r="529" spans="1:6" x14ac:dyDescent="0.2">
      <c r="A529" s="347" t="s">
        <v>1148</v>
      </c>
      <c r="B529" s="347" t="s">
        <v>1731</v>
      </c>
      <c r="C529" s="347" t="s">
        <v>1120</v>
      </c>
      <c r="D529" s="347" t="s">
        <v>698</v>
      </c>
      <c r="E529" s="358">
        <v>46136</v>
      </c>
      <c r="F529" s="347"/>
    </row>
    <row r="530" spans="1:6" x14ac:dyDescent="0.2">
      <c r="A530" s="347" t="s">
        <v>1732</v>
      </c>
      <c r="B530" s="347" t="s">
        <v>656</v>
      </c>
      <c r="C530" s="347" t="s">
        <v>1733</v>
      </c>
      <c r="D530" s="347" t="s">
        <v>698</v>
      </c>
      <c r="E530" s="358">
        <v>46136</v>
      </c>
      <c r="F530" s="347"/>
    </row>
    <row r="531" spans="1:6" x14ac:dyDescent="0.2">
      <c r="A531" s="346" t="s">
        <v>687</v>
      </c>
      <c r="B531" s="346" t="s">
        <v>687</v>
      </c>
      <c r="C531" s="346" t="s">
        <v>687</v>
      </c>
      <c r="D531" s="346" t="s">
        <v>687</v>
      </c>
      <c r="E531" s="346" t="s">
        <v>687</v>
      </c>
      <c r="F531" s="346" t="s">
        <v>687</v>
      </c>
    </row>
    <row r="532" spans="1:6" x14ac:dyDescent="0.2">
      <c r="A532" s="157" t="s">
        <v>981</v>
      </c>
      <c r="B532" s="157" t="s">
        <v>205</v>
      </c>
      <c r="C532" s="157" t="s">
        <v>1262</v>
      </c>
      <c r="D532" s="157" t="s">
        <v>1734</v>
      </c>
      <c r="E532" s="357">
        <v>46139</v>
      </c>
      <c r="F532" s="157">
        <v>4</v>
      </c>
    </row>
    <row r="533" spans="1:6" x14ac:dyDescent="0.2">
      <c r="A533" s="157" t="s">
        <v>1459</v>
      </c>
      <c r="B533" s="157" t="s">
        <v>205</v>
      </c>
      <c r="C533" s="157" t="s">
        <v>55</v>
      </c>
      <c r="D533" s="157" t="s">
        <v>1641</v>
      </c>
      <c r="E533" s="357">
        <v>46139</v>
      </c>
      <c r="F533" s="157" t="s">
        <v>1735</v>
      </c>
    </row>
    <row r="534" spans="1:6" x14ac:dyDescent="0.2">
      <c r="A534" s="157" t="s">
        <v>1459</v>
      </c>
      <c r="B534" s="157" t="s">
        <v>205</v>
      </c>
      <c r="C534" s="157" t="s">
        <v>55</v>
      </c>
      <c r="D534" s="157" t="s">
        <v>1736</v>
      </c>
      <c r="E534" s="357">
        <v>46139</v>
      </c>
      <c r="F534" s="157" t="s">
        <v>1735</v>
      </c>
    </row>
    <row r="535" spans="1:6" x14ac:dyDescent="0.2">
      <c r="A535" s="157" t="s">
        <v>1459</v>
      </c>
      <c r="B535" s="157" t="s">
        <v>205</v>
      </c>
      <c r="C535" s="157" t="s">
        <v>55</v>
      </c>
      <c r="D535" s="157" t="s">
        <v>1021</v>
      </c>
      <c r="E535" s="357">
        <v>46139</v>
      </c>
      <c r="F535" s="157" t="s">
        <v>1735</v>
      </c>
    </row>
    <row r="536" spans="1:6" x14ac:dyDescent="0.2">
      <c r="A536" s="157" t="s">
        <v>1459</v>
      </c>
      <c r="B536" s="157" t="s">
        <v>205</v>
      </c>
      <c r="C536" s="157" t="s">
        <v>55</v>
      </c>
      <c r="D536" s="157" t="s">
        <v>1588</v>
      </c>
      <c r="E536" s="357">
        <v>46139</v>
      </c>
      <c r="F536" s="157" t="s">
        <v>1735</v>
      </c>
    </row>
    <row r="537" spans="1:6" x14ac:dyDescent="0.2">
      <c r="A537" s="157" t="s">
        <v>31</v>
      </c>
      <c r="B537" s="157" t="s">
        <v>358</v>
      </c>
      <c r="C537" s="157" t="s">
        <v>1561</v>
      </c>
      <c r="D537" s="157" t="s">
        <v>1737</v>
      </c>
      <c r="E537" s="357">
        <v>46139</v>
      </c>
      <c r="F537" s="157">
        <v>4</v>
      </c>
    </row>
    <row r="538" spans="1:6" x14ac:dyDescent="0.2">
      <c r="A538" s="157" t="s">
        <v>1063</v>
      </c>
      <c r="B538" s="157" t="s">
        <v>257</v>
      </c>
      <c r="C538" s="157" t="s">
        <v>1446</v>
      </c>
      <c r="D538" s="157" t="s">
        <v>1738</v>
      </c>
      <c r="E538" s="357">
        <v>46139</v>
      </c>
      <c r="F538" s="157">
        <v>4</v>
      </c>
    </row>
    <row r="539" spans="1:6" x14ac:dyDescent="0.2">
      <c r="A539" s="157" t="s">
        <v>1063</v>
      </c>
      <c r="B539" s="157" t="s">
        <v>205</v>
      </c>
      <c r="C539" s="157" t="s">
        <v>1009</v>
      </c>
      <c r="D539" s="157" t="s">
        <v>1696</v>
      </c>
      <c r="E539" s="357">
        <v>46139</v>
      </c>
      <c r="F539" s="157" t="s">
        <v>360</v>
      </c>
    </row>
    <row r="540" spans="1:6" x14ac:dyDescent="0.2">
      <c r="A540" s="157" t="s">
        <v>1063</v>
      </c>
      <c r="B540" s="157" t="s">
        <v>383</v>
      </c>
      <c r="C540" s="157" t="s">
        <v>155</v>
      </c>
      <c r="D540" s="157" t="s">
        <v>1739</v>
      </c>
      <c r="E540" s="357">
        <v>46139</v>
      </c>
      <c r="F540" s="157">
        <v>4</v>
      </c>
    </row>
    <row r="541" spans="1:6" x14ac:dyDescent="0.2">
      <c r="A541" s="157" t="s">
        <v>860</v>
      </c>
      <c r="B541" s="157" t="s">
        <v>205</v>
      </c>
      <c r="C541" s="157" t="s">
        <v>1574</v>
      </c>
      <c r="D541" s="157" t="s">
        <v>1740</v>
      </c>
      <c r="E541" s="357">
        <v>46139</v>
      </c>
      <c r="F541" s="157">
        <v>4</v>
      </c>
    </row>
    <row r="542" spans="1:6" x14ac:dyDescent="0.2">
      <c r="A542" s="157" t="s">
        <v>860</v>
      </c>
      <c r="B542" s="157" t="s">
        <v>1741</v>
      </c>
      <c r="C542" s="157" t="s">
        <v>838</v>
      </c>
      <c r="D542" s="157" t="s">
        <v>1742</v>
      </c>
      <c r="E542" s="357">
        <v>46139</v>
      </c>
      <c r="F542" s="157" t="s">
        <v>360</v>
      </c>
    </row>
    <row r="543" spans="1:6" x14ac:dyDescent="0.2">
      <c r="A543" s="157" t="s">
        <v>1063</v>
      </c>
      <c r="B543" s="157" t="s">
        <v>358</v>
      </c>
      <c r="C543" s="157" t="s">
        <v>1383</v>
      </c>
      <c r="D543" s="157" t="s">
        <v>1743</v>
      </c>
      <c r="E543" s="357">
        <v>46140</v>
      </c>
      <c r="F543" s="157">
        <v>4</v>
      </c>
    </row>
    <row r="544" spans="1:6" x14ac:dyDescent="0.2">
      <c r="A544" s="157" t="s">
        <v>1063</v>
      </c>
      <c r="B544" s="157" t="s">
        <v>358</v>
      </c>
      <c r="C544" s="157" t="s">
        <v>1383</v>
      </c>
      <c r="D544" s="157" t="s">
        <v>1744</v>
      </c>
      <c r="E544" s="357">
        <v>46140</v>
      </c>
      <c r="F544" s="157">
        <v>4</v>
      </c>
    </row>
    <row r="545" spans="1:6" x14ac:dyDescent="0.2">
      <c r="A545" s="157" t="s">
        <v>860</v>
      </c>
      <c r="B545" s="157" t="s">
        <v>751</v>
      </c>
      <c r="C545" s="157" t="s">
        <v>1678</v>
      </c>
      <c r="D545" s="157" t="s">
        <v>1193</v>
      </c>
      <c r="E545" s="357">
        <v>46140</v>
      </c>
      <c r="F545" s="157" t="s">
        <v>360</v>
      </c>
    </row>
    <row r="546" spans="1:6" x14ac:dyDescent="0.2">
      <c r="A546" s="157" t="s">
        <v>860</v>
      </c>
      <c r="B546" s="157" t="s">
        <v>383</v>
      </c>
      <c r="C546" s="157" t="s">
        <v>1678</v>
      </c>
      <c r="D546" s="157" t="s">
        <v>1745</v>
      </c>
      <c r="E546" s="357">
        <v>46140</v>
      </c>
      <c r="F546" s="157" t="s">
        <v>360</v>
      </c>
    </row>
    <row r="547" spans="1:6" x14ac:dyDescent="0.2">
      <c r="A547" s="157" t="s">
        <v>1459</v>
      </c>
      <c r="B547" s="157" t="s">
        <v>205</v>
      </c>
      <c r="C547" s="157" t="s">
        <v>55</v>
      </c>
      <c r="D547" s="157" t="s">
        <v>1266</v>
      </c>
      <c r="E547" s="357">
        <v>46140</v>
      </c>
      <c r="F547" s="157" t="s">
        <v>1735</v>
      </c>
    </row>
    <row r="548" spans="1:6" x14ac:dyDescent="0.2">
      <c r="A548" s="157" t="s">
        <v>1459</v>
      </c>
      <c r="B548" s="157" t="s">
        <v>205</v>
      </c>
      <c r="C548" s="157" t="s">
        <v>55</v>
      </c>
      <c r="D548" s="157" t="s">
        <v>1746</v>
      </c>
      <c r="E548" s="357">
        <v>46140</v>
      </c>
      <c r="F548" s="157" t="s">
        <v>1735</v>
      </c>
    </row>
    <row r="549" spans="1:6" x14ac:dyDescent="0.2">
      <c r="A549" s="157" t="s">
        <v>1459</v>
      </c>
      <c r="B549" s="157" t="s">
        <v>205</v>
      </c>
      <c r="C549" s="157" t="s">
        <v>55</v>
      </c>
      <c r="D549" s="157" t="s">
        <v>1747</v>
      </c>
      <c r="E549" s="357">
        <v>46140</v>
      </c>
      <c r="F549" s="157" t="s">
        <v>1735</v>
      </c>
    </row>
    <row r="550" spans="1:6" x14ac:dyDescent="0.2">
      <c r="A550" s="157" t="s">
        <v>1459</v>
      </c>
      <c r="B550" s="157" t="s">
        <v>205</v>
      </c>
      <c r="C550" s="157" t="s">
        <v>55</v>
      </c>
      <c r="D550" s="157" t="s">
        <v>436</v>
      </c>
      <c r="E550" s="357">
        <v>46140</v>
      </c>
      <c r="F550" s="157" t="s">
        <v>1735</v>
      </c>
    </row>
    <row r="551" spans="1:6" x14ac:dyDescent="0.2">
      <c r="A551" s="157" t="s">
        <v>31</v>
      </c>
      <c r="B551" s="157" t="s">
        <v>288</v>
      </c>
      <c r="C551" s="157" t="s">
        <v>1627</v>
      </c>
      <c r="D551" s="157" t="s">
        <v>1748</v>
      </c>
      <c r="E551" s="357">
        <v>46140</v>
      </c>
      <c r="F551" s="157">
        <v>3</v>
      </c>
    </row>
    <row r="552" spans="1:6" x14ac:dyDescent="0.2">
      <c r="A552" s="157" t="s">
        <v>31</v>
      </c>
      <c r="B552" s="157" t="s">
        <v>202</v>
      </c>
      <c r="C552" s="157" t="s">
        <v>56</v>
      </c>
      <c r="D552" s="157" t="s">
        <v>1065</v>
      </c>
      <c r="E552" s="357">
        <v>46141</v>
      </c>
      <c r="F552" s="157">
        <v>4</v>
      </c>
    </row>
    <row r="553" spans="1:6" x14ac:dyDescent="0.2">
      <c r="A553" s="157" t="s">
        <v>1063</v>
      </c>
      <c r="B553" s="157" t="s">
        <v>250</v>
      </c>
      <c r="C553" s="157" t="s">
        <v>1285</v>
      </c>
      <c r="D553" s="157" t="s">
        <v>1749</v>
      </c>
      <c r="E553" s="357">
        <v>46141</v>
      </c>
      <c r="F553" s="157">
        <v>3</v>
      </c>
    </row>
    <row r="554" spans="1:6" x14ac:dyDescent="0.2">
      <c r="A554" s="157" t="s">
        <v>31</v>
      </c>
      <c r="B554" s="157" t="s">
        <v>192</v>
      </c>
      <c r="C554" s="157" t="s">
        <v>830</v>
      </c>
      <c r="D554" s="157" t="s">
        <v>1750</v>
      </c>
      <c r="E554" s="357">
        <v>46141</v>
      </c>
      <c r="F554" s="157">
        <v>4</v>
      </c>
    </row>
    <row r="555" spans="1:6" x14ac:dyDescent="0.2">
      <c r="A555" s="157" t="s">
        <v>1459</v>
      </c>
      <c r="B555" s="157" t="s">
        <v>205</v>
      </c>
      <c r="C555" s="157" t="s">
        <v>55</v>
      </c>
      <c r="D555" s="157" t="s">
        <v>1042</v>
      </c>
      <c r="E555" s="357">
        <v>46141</v>
      </c>
      <c r="F555" s="157" t="s">
        <v>1735</v>
      </c>
    </row>
    <row r="556" spans="1:6" x14ac:dyDescent="0.2">
      <c r="A556" s="157" t="s">
        <v>1459</v>
      </c>
      <c r="B556" s="157" t="s">
        <v>529</v>
      </c>
      <c r="C556" s="157" t="s">
        <v>1377</v>
      </c>
      <c r="D556" s="157" t="s">
        <v>1751</v>
      </c>
      <c r="E556" s="357">
        <v>46141</v>
      </c>
      <c r="F556" s="157">
        <v>4</v>
      </c>
    </row>
    <row r="557" spans="1:6" x14ac:dyDescent="0.2">
      <c r="A557" s="157" t="s">
        <v>860</v>
      </c>
      <c r="B557" s="157" t="s">
        <v>192</v>
      </c>
      <c r="C557" s="157" t="s">
        <v>838</v>
      </c>
      <c r="D557" s="157" t="s">
        <v>1752</v>
      </c>
      <c r="E557" s="357">
        <v>46141</v>
      </c>
      <c r="F557" s="157" t="s">
        <v>360</v>
      </c>
    </row>
    <row r="558" spans="1:6" x14ac:dyDescent="0.2">
      <c r="A558" s="157" t="s">
        <v>860</v>
      </c>
      <c r="B558" s="157" t="s">
        <v>192</v>
      </c>
      <c r="C558" s="157" t="s">
        <v>1574</v>
      </c>
      <c r="D558" s="157" t="s">
        <v>1753</v>
      </c>
      <c r="E558" s="357">
        <v>46141</v>
      </c>
      <c r="F558" s="157">
        <v>4</v>
      </c>
    </row>
    <row r="559" spans="1:6" x14ac:dyDescent="0.2">
      <c r="A559" s="157" t="s">
        <v>981</v>
      </c>
      <c r="B559" s="157" t="s">
        <v>250</v>
      </c>
      <c r="C559" s="157" t="s">
        <v>1398</v>
      </c>
      <c r="D559" s="157" t="s">
        <v>1754</v>
      </c>
      <c r="E559" s="357">
        <v>46142</v>
      </c>
      <c r="F559" s="157">
        <v>3</v>
      </c>
    </row>
    <row r="560" spans="1:6" x14ac:dyDescent="0.2">
      <c r="A560" s="157" t="s">
        <v>31</v>
      </c>
      <c r="B560" s="157" t="s">
        <v>1755</v>
      </c>
      <c r="C560" s="157" t="s">
        <v>830</v>
      </c>
      <c r="D560" s="157" t="s">
        <v>1756</v>
      </c>
      <c r="E560" s="357">
        <v>46142</v>
      </c>
      <c r="F560" s="157">
        <v>4</v>
      </c>
    </row>
    <row r="561" spans="1:6" x14ac:dyDescent="0.2">
      <c r="A561" s="157" t="s">
        <v>1459</v>
      </c>
      <c r="B561" s="157" t="s">
        <v>383</v>
      </c>
      <c r="C561" s="157" t="s">
        <v>1505</v>
      </c>
      <c r="D561" s="157" t="s">
        <v>1757</v>
      </c>
      <c r="E561" s="357">
        <v>46142</v>
      </c>
      <c r="F561" s="157">
        <v>4</v>
      </c>
    </row>
    <row r="562" spans="1:6" x14ac:dyDescent="0.2">
      <c r="A562" s="157" t="s">
        <v>1063</v>
      </c>
      <c r="B562" s="157" t="s">
        <v>358</v>
      </c>
      <c r="C562" s="157" t="s">
        <v>1009</v>
      </c>
      <c r="D562" s="157" t="s">
        <v>1744</v>
      </c>
      <c r="E562" s="357">
        <v>46142</v>
      </c>
      <c r="F562" s="157" t="s">
        <v>360</v>
      </c>
    </row>
    <row r="563" spans="1:6" x14ac:dyDescent="0.2">
      <c r="A563" s="157" t="s">
        <v>1063</v>
      </c>
      <c r="B563" s="157" t="s">
        <v>192</v>
      </c>
      <c r="C563" s="157" t="s">
        <v>885</v>
      </c>
      <c r="D563" s="157" t="s">
        <v>1758</v>
      </c>
      <c r="E563" s="357">
        <v>46142</v>
      </c>
      <c r="F563" s="157" t="s">
        <v>1759</v>
      </c>
    </row>
    <row r="564" spans="1:6" x14ac:dyDescent="0.2">
      <c r="A564" s="157" t="s">
        <v>1063</v>
      </c>
      <c r="B564" s="157" t="s">
        <v>257</v>
      </c>
      <c r="C564" s="157" t="s">
        <v>1446</v>
      </c>
      <c r="D564" s="157" t="s">
        <v>1760</v>
      </c>
      <c r="E564" s="357">
        <v>46142</v>
      </c>
      <c r="F564" s="157">
        <v>4</v>
      </c>
    </row>
    <row r="565" spans="1:6" x14ac:dyDescent="0.2">
      <c r="A565" s="157" t="s">
        <v>1063</v>
      </c>
      <c r="B565" s="157" t="s">
        <v>383</v>
      </c>
      <c r="C565" s="157" t="s">
        <v>885</v>
      </c>
      <c r="D565" s="157" t="s">
        <v>1761</v>
      </c>
      <c r="E565" s="357">
        <v>46142</v>
      </c>
      <c r="F565" s="157" t="s">
        <v>360</v>
      </c>
    </row>
    <row r="566" spans="1:6" x14ac:dyDescent="0.2">
      <c r="A566" s="157" t="s">
        <v>860</v>
      </c>
      <c r="B566" s="157" t="s">
        <v>192</v>
      </c>
      <c r="C566" s="157" t="s">
        <v>1248</v>
      </c>
      <c r="D566" s="157" t="s">
        <v>1606</v>
      </c>
      <c r="E566" s="357">
        <v>46142</v>
      </c>
      <c r="F566" s="157" t="s">
        <v>1735</v>
      </c>
    </row>
    <row r="567" spans="1:6" x14ac:dyDescent="0.2">
      <c r="A567" s="157" t="s">
        <v>860</v>
      </c>
      <c r="B567" s="157" t="s">
        <v>205</v>
      </c>
      <c r="C567" s="157" t="s">
        <v>1392</v>
      </c>
      <c r="D567" s="157" t="s">
        <v>1762</v>
      </c>
      <c r="E567" s="357">
        <v>46142</v>
      </c>
      <c r="F567" s="157">
        <v>4</v>
      </c>
    </row>
    <row r="568" spans="1:6" x14ac:dyDescent="0.2">
      <c r="A568" s="347" t="s">
        <v>1732</v>
      </c>
      <c r="B568" s="347" t="s">
        <v>656</v>
      </c>
      <c r="C568" s="347" t="s">
        <v>1763</v>
      </c>
      <c r="D568" s="347" t="s">
        <v>698</v>
      </c>
      <c r="E568" s="348">
        <v>46139</v>
      </c>
      <c r="F568" s="347"/>
    </row>
    <row r="569" spans="1:6" x14ac:dyDescent="0.2">
      <c r="A569" s="347" t="s">
        <v>1148</v>
      </c>
      <c r="B569" s="347" t="s">
        <v>1178</v>
      </c>
      <c r="C569" s="348" t="s">
        <v>1678</v>
      </c>
      <c r="D569" s="347" t="s">
        <v>698</v>
      </c>
      <c r="E569" s="348">
        <v>46140</v>
      </c>
      <c r="F569" s="347"/>
    </row>
    <row r="570" spans="1:6" x14ac:dyDescent="0.2">
      <c r="A570" s="347" t="s">
        <v>1148</v>
      </c>
      <c r="B570" s="347" t="s">
        <v>1178</v>
      </c>
      <c r="C570" s="347" t="s">
        <v>1446</v>
      </c>
      <c r="D570" s="347" t="s">
        <v>698</v>
      </c>
      <c r="E570" s="348">
        <v>46140</v>
      </c>
      <c r="F570" s="347"/>
    </row>
    <row r="571" spans="1:6" x14ac:dyDescent="0.2">
      <c r="A571" s="347" t="s">
        <v>1148</v>
      </c>
      <c r="B571" s="347" t="s">
        <v>1178</v>
      </c>
      <c r="C571" s="347" t="s">
        <v>1561</v>
      </c>
      <c r="D571" s="347" t="s">
        <v>698</v>
      </c>
      <c r="E571" s="348">
        <v>46140</v>
      </c>
      <c r="F571" s="347"/>
    </row>
    <row r="572" spans="1:6" x14ac:dyDescent="0.2">
      <c r="A572" s="347" t="s">
        <v>1261</v>
      </c>
      <c r="B572" s="347" t="s">
        <v>1178</v>
      </c>
      <c r="C572" s="347" t="s">
        <v>1262</v>
      </c>
      <c r="D572" s="347" t="s">
        <v>698</v>
      </c>
      <c r="E572" s="348">
        <v>46140</v>
      </c>
      <c r="F572" s="347"/>
    </row>
    <row r="573" spans="1:6" x14ac:dyDescent="0.2">
      <c r="A573" s="347" t="s">
        <v>1148</v>
      </c>
      <c r="B573" s="347" t="s">
        <v>1178</v>
      </c>
      <c r="C573" s="347" t="s">
        <v>1626</v>
      </c>
      <c r="D573" s="347" t="s">
        <v>698</v>
      </c>
      <c r="E573" s="348">
        <v>46140</v>
      </c>
      <c r="F573" s="347"/>
    </row>
    <row r="574" spans="1:6" x14ac:dyDescent="0.2">
      <c r="A574" s="347" t="s">
        <v>1148</v>
      </c>
      <c r="B574" s="347" t="s">
        <v>1178</v>
      </c>
      <c r="C574" s="347" t="s">
        <v>1627</v>
      </c>
      <c r="D574" s="347" t="s">
        <v>698</v>
      </c>
      <c r="E574" s="348">
        <v>46141</v>
      </c>
      <c r="F574" s="347"/>
    </row>
    <row r="575" spans="1:6" x14ac:dyDescent="0.2">
      <c r="A575" s="347" t="s">
        <v>1148</v>
      </c>
      <c r="B575" s="347" t="s">
        <v>1178</v>
      </c>
      <c r="C575" s="347" t="s">
        <v>1285</v>
      </c>
      <c r="D575" s="347" t="s">
        <v>698</v>
      </c>
      <c r="E575" s="348">
        <v>46142</v>
      </c>
      <c r="F575" s="347"/>
    </row>
    <row r="576" spans="1:6" x14ac:dyDescent="0.2">
      <c r="A576" s="347" t="s">
        <v>1148</v>
      </c>
      <c r="B576" s="347" t="s">
        <v>1178</v>
      </c>
      <c r="C576" s="347" t="s">
        <v>1594</v>
      </c>
      <c r="D576" s="347" t="s">
        <v>698</v>
      </c>
      <c r="E576" s="348">
        <v>46142</v>
      </c>
      <c r="F576" s="347"/>
    </row>
    <row r="577" spans="1:6" x14ac:dyDescent="0.2">
      <c r="A577" s="347" t="s">
        <v>1764</v>
      </c>
      <c r="B577" s="347" t="s">
        <v>1281</v>
      </c>
      <c r="C577" s="347" t="s">
        <v>1733</v>
      </c>
      <c r="D577" s="347" t="s">
        <v>698</v>
      </c>
      <c r="E577" s="348">
        <v>46142</v>
      </c>
      <c r="F577" s="347"/>
    </row>
    <row r="578" spans="1:6" x14ac:dyDescent="0.2">
      <c r="A578" s="346" t="s">
        <v>701</v>
      </c>
      <c r="B578" s="346" t="s">
        <v>701</v>
      </c>
      <c r="C578" s="346" t="s">
        <v>701</v>
      </c>
      <c r="D578" s="346" t="s">
        <v>701</v>
      </c>
      <c r="E578" s="346" t="s">
        <v>701</v>
      </c>
      <c r="F578" s="346" t="s">
        <v>701</v>
      </c>
    </row>
    <row r="579" spans="1:6" x14ac:dyDescent="0.2">
      <c r="A579" s="157" t="s">
        <v>1459</v>
      </c>
      <c r="B579" s="157" t="s">
        <v>529</v>
      </c>
      <c r="C579" s="157" t="s">
        <v>1505</v>
      </c>
      <c r="D579" s="157" t="s">
        <v>1765</v>
      </c>
      <c r="E579" s="357">
        <v>46146</v>
      </c>
      <c r="F579" s="157" t="s">
        <v>360</v>
      </c>
    </row>
    <row r="580" spans="1:6" x14ac:dyDescent="0.2">
      <c r="A580" s="157" t="s">
        <v>860</v>
      </c>
      <c r="B580" s="157" t="s">
        <v>230</v>
      </c>
      <c r="C580" s="157" t="s">
        <v>1766</v>
      </c>
      <c r="D580" s="157" t="s">
        <v>1767</v>
      </c>
      <c r="E580" s="357">
        <v>46146</v>
      </c>
      <c r="F580" s="157" t="s">
        <v>360</v>
      </c>
    </row>
    <row r="581" spans="1:6" x14ac:dyDescent="0.2">
      <c r="A581" s="157" t="s">
        <v>1063</v>
      </c>
      <c r="B581" s="157" t="s">
        <v>250</v>
      </c>
      <c r="C581" s="157" t="s">
        <v>1285</v>
      </c>
      <c r="D581" s="157" t="s">
        <v>1768</v>
      </c>
      <c r="E581" s="357">
        <v>46146</v>
      </c>
      <c r="F581" s="157">
        <v>3</v>
      </c>
    </row>
    <row r="582" spans="1:6" x14ac:dyDescent="0.2">
      <c r="A582" s="157" t="s">
        <v>31</v>
      </c>
      <c r="B582" s="157" t="s">
        <v>383</v>
      </c>
      <c r="C582" s="157" t="s">
        <v>1627</v>
      </c>
      <c r="D582" s="157" t="s">
        <v>1769</v>
      </c>
      <c r="E582" s="357">
        <v>46146</v>
      </c>
      <c r="F582" s="157" t="s">
        <v>1770</v>
      </c>
    </row>
    <row r="583" spans="1:6" x14ac:dyDescent="0.2">
      <c r="A583" s="157" t="s">
        <v>1459</v>
      </c>
      <c r="B583" s="157" t="s">
        <v>288</v>
      </c>
      <c r="C583" s="157" t="s">
        <v>1377</v>
      </c>
      <c r="D583" s="157" t="s">
        <v>1771</v>
      </c>
      <c r="E583" s="357">
        <v>46147</v>
      </c>
      <c r="F583" s="157" t="s">
        <v>360</v>
      </c>
    </row>
    <row r="584" spans="1:6" x14ac:dyDescent="0.2">
      <c r="A584" s="157" t="s">
        <v>1063</v>
      </c>
      <c r="B584" s="157" t="s">
        <v>358</v>
      </c>
      <c r="C584" s="157" t="s">
        <v>1383</v>
      </c>
      <c r="D584" s="157" t="s">
        <v>1772</v>
      </c>
      <c r="E584" s="357">
        <v>46146</v>
      </c>
      <c r="F584" s="157">
        <v>4</v>
      </c>
    </row>
    <row r="585" spans="1:6" x14ac:dyDescent="0.2">
      <c r="A585" s="157" t="s">
        <v>31</v>
      </c>
      <c r="B585" s="157" t="s">
        <v>358</v>
      </c>
      <c r="C585" s="157" t="s">
        <v>1561</v>
      </c>
      <c r="D585" s="157" t="s">
        <v>1773</v>
      </c>
      <c r="E585" s="357">
        <v>46147</v>
      </c>
      <c r="F585" s="157">
        <v>4</v>
      </c>
    </row>
    <row r="586" spans="1:6" x14ac:dyDescent="0.2">
      <c r="A586" s="157" t="s">
        <v>31</v>
      </c>
      <c r="B586" s="157" t="s">
        <v>383</v>
      </c>
      <c r="C586" s="157" t="s">
        <v>1627</v>
      </c>
      <c r="D586" s="157" t="s">
        <v>1774</v>
      </c>
      <c r="E586" s="357">
        <v>46147</v>
      </c>
      <c r="F586" s="157" t="s">
        <v>1770</v>
      </c>
    </row>
    <row r="587" spans="1:6" x14ac:dyDescent="0.2">
      <c r="A587" s="157" t="s">
        <v>31</v>
      </c>
      <c r="B587" s="157" t="s">
        <v>383</v>
      </c>
      <c r="C587" s="157" t="s">
        <v>1627</v>
      </c>
      <c r="D587" s="157" t="s">
        <v>1775</v>
      </c>
      <c r="E587" s="357">
        <v>46147</v>
      </c>
      <c r="F587" s="157" t="s">
        <v>1770</v>
      </c>
    </row>
    <row r="588" spans="1:6" x14ac:dyDescent="0.2">
      <c r="A588" s="157" t="s">
        <v>31</v>
      </c>
      <c r="B588" s="157" t="s">
        <v>383</v>
      </c>
      <c r="C588" s="157" t="s">
        <v>1627</v>
      </c>
      <c r="D588" s="157" t="s">
        <v>1776</v>
      </c>
      <c r="E588" s="357">
        <v>46147</v>
      </c>
      <c r="F588" s="157" t="s">
        <v>1770</v>
      </c>
    </row>
    <row r="589" spans="1:6" x14ac:dyDescent="0.2">
      <c r="A589" s="157" t="s">
        <v>31</v>
      </c>
      <c r="B589" s="157" t="s">
        <v>383</v>
      </c>
      <c r="C589" s="157" t="s">
        <v>1627</v>
      </c>
      <c r="D589" s="157" t="s">
        <v>1777</v>
      </c>
      <c r="E589" s="357">
        <v>46147</v>
      </c>
      <c r="F589" s="157" t="s">
        <v>1770</v>
      </c>
    </row>
    <row r="590" spans="1:6" x14ac:dyDescent="0.2">
      <c r="A590" s="157" t="s">
        <v>31</v>
      </c>
      <c r="B590" s="157" t="s">
        <v>383</v>
      </c>
      <c r="C590" s="157" t="s">
        <v>1627</v>
      </c>
      <c r="D590" s="157" t="s">
        <v>1778</v>
      </c>
      <c r="E590" s="357">
        <v>46147</v>
      </c>
      <c r="F590" s="157" t="s">
        <v>1770</v>
      </c>
    </row>
    <row r="591" spans="1:6" x14ac:dyDescent="0.2">
      <c r="A591" s="157" t="s">
        <v>31</v>
      </c>
      <c r="B591" s="157" t="s">
        <v>383</v>
      </c>
      <c r="C591" s="157" t="s">
        <v>1627</v>
      </c>
      <c r="D591" s="157" t="s">
        <v>1779</v>
      </c>
      <c r="E591" s="357">
        <v>46147</v>
      </c>
      <c r="F591" s="157" t="s">
        <v>1770</v>
      </c>
    </row>
    <row r="592" spans="1:6" x14ac:dyDescent="0.2">
      <c r="A592" s="157" t="s">
        <v>860</v>
      </c>
      <c r="B592" s="157" t="s">
        <v>383</v>
      </c>
      <c r="C592" s="157" t="s">
        <v>1574</v>
      </c>
      <c r="D592" s="157" t="s">
        <v>1575</v>
      </c>
      <c r="E592" s="357">
        <v>46147</v>
      </c>
      <c r="F592" s="157" t="s">
        <v>1770</v>
      </c>
    </row>
    <row r="593" spans="1:6" x14ac:dyDescent="0.2">
      <c r="A593" s="157" t="s">
        <v>860</v>
      </c>
      <c r="B593" s="157" t="s">
        <v>1780</v>
      </c>
      <c r="C593" s="157" t="s">
        <v>371</v>
      </c>
      <c r="D593" s="157" t="s">
        <v>1781</v>
      </c>
      <c r="E593" s="357">
        <v>46147</v>
      </c>
      <c r="F593" s="157" t="s">
        <v>360</v>
      </c>
    </row>
    <row r="594" spans="1:6" x14ac:dyDescent="0.2">
      <c r="A594" s="157" t="s">
        <v>860</v>
      </c>
      <c r="B594" s="157" t="s">
        <v>1741</v>
      </c>
      <c r="C594" s="157" t="s">
        <v>838</v>
      </c>
      <c r="D594" s="157" t="s">
        <v>1782</v>
      </c>
      <c r="E594" s="357">
        <v>46147</v>
      </c>
      <c r="F594" s="157" t="s">
        <v>360</v>
      </c>
    </row>
    <row r="595" spans="1:6" x14ac:dyDescent="0.2">
      <c r="A595" s="157" t="s">
        <v>860</v>
      </c>
      <c r="B595" s="157" t="s">
        <v>192</v>
      </c>
      <c r="C595" s="157" t="s">
        <v>1574</v>
      </c>
      <c r="D595" s="157" t="s">
        <v>1783</v>
      </c>
      <c r="E595" s="357">
        <v>46147</v>
      </c>
      <c r="F595" s="157" t="s">
        <v>360</v>
      </c>
    </row>
    <row r="596" spans="1:6" x14ac:dyDescent="0.2">
      <c r="A596" s="157" t="s">
        <v>981</v>
      </c>
      <c r="B596" s="157" t="s">
        <v>205</v>
      </c>
      <c r="C596" s="157" t="s">
        <v>1653</v>
      </c>
      <c r="D596" s="157" t="s">
        <v>1784</v>
      </c>
      <c r="E596" s="357">
        <v>46147</v>
      </c>
      <c r="F596" s="157">
        <v>3</v>
      </c>
    </row>
    <row r="597" spans="1:6" x14ac:dyDescent="0.2">
      <c r="A597" s="157" t="s">
        <v>860</v>
      </c>
      <c r="B597" s="157" t="s">
        <v>192</v>
      </c>
      <c r="C597" s="157" t="s">
        <v>643</v>
      </c>
      <c r="D597" s="157" t="s">
        <v>1785</v>
      </c>
      <c r="E597" s="357">
        <v>46147</v>
      </c>
      <c r="F597" s="157">
        <v>4</v>
      </c>
    </row>
    <row r="598" spans="1:6" x14ac:dyDescent="0.2">
      <c r="A598" s="157" t="s">
        <v>981</v>
      </c>
      <c r="B598" s="157" t="s">
        <v>205</v>
      </c>
      <c r="C598" s="157" t="s">
        <v>1262</v>
      </c>
      <c r="D598" s="157" t="s">
        <v>1786</v>
      </c>
      <c r="E598" s="357">
        <v>46148</v>
      </c>
      <c r="F598" s="157">
        <v>4</v>
      </c>
    </row>
    <row r="599" spans="1:6" x14ac:dyDescent="0.2">
      <c r="A599" s="157" t="s">
        <v>981</v>
      </c>
      <c r="B599" s="157" t="s">
        <v>230</v>
      </c>
      <c r="C599" s="157" t="s">
        <v>1653</v>
      </c>
      <c r="D599" s="157" t="s">
        <v>1787</v>
      </c>
      <c r="E599" s="357">
        <v>46148</v>
      </c>
      <c r="F599" s="157">
        <v>3</v>
      </c>
    </row>
    <row r="600" spans="1:6" x14ac:dyDescent="0.2">
      <c r="A600" s="157" t="s">
        <v>981</v>
      </c>
      <c r="B600" s="157" t="s">
        <v>205</v>
      </c>
      <c r="C600" s="157" t="s">
        <v>1398</v>
      </c>
      <c r="D600" s="157" t="s">
        <v>1788</v>
      </c>
      <c r="E600" s="357">
        <v>46148</v>
      </c>
      <c r="F600" s="157"/>
    </row>
    <row r="601" spans="1:6" x14ac:dyDescent="0.2">
      <c r="A601" s="157" t="s">
        <v>1459</v>
      </c>
      <c r="B601" s="157" t="s">
        <v>288</v>
      </c>
      <c r="C601" s="157" t="s">
        <v>1626</v>
      </c>
      <c r="D601" s="157" t="s">
        <v>1789</v>
      </c>
      <c r="E601" s="357">
        <v>46148</v>
      </c>
      <c r="F601" s="157">
        <v>4</v>
      </c>
    </row>
    <row r="602" spans="1:6" x14ac:dyDescent="0.2">
      <c r="A602" s="157" t="s">
        <v>1459</v>
      </c>
      <c r="B602" s="157" t="s">
        <v>383</v>
      </c>
      <c r="C602" s="157" t="s">
        <v>1505</v>
      </c>
      <c r="D602" s="157" t="s">
        <v>1777</v>
      </c>
      <c r="E602" s="357">
        <v>46148</v>
      </c>
      <c r="F602" s="157" t="s">
        <v>1770</v>
      </c>
    </row>
    <row r="603" spans="1:6" x14ac:dyDescent="0.2">
      <c r="A603" s="157" t="s">
        <v>1459</v>
      </c>
      <c r="B603" s="157" t="s">
        <v>383</v>
      </c>
      <c r="C603" s="157" t="s">
        <v>1505</v>
      </c>
      <c r="D603" s="157" t="s">
        <v>1790</v>
      </c>
      <c r="E603" s="357">
        <v>46148</v>
      </c>
      <c r="F603" s="157" t="s">
        <v>1770</v>
      </c>
    </row>
    <row r="604" spans="1:6" x14ac:dyDescent="0.2">
      <c r="A604" s="157" t="s">
        <v>1459</v>
      </c>
      <c r="B604" s="157" t="s">
        <v>288</v>
      </c>
      <c r="C604" s="157" t="s">
        <v>1377</v>
      </c>
      <c r="D604" s="157" t="s">
        <v>1771</v>
      </c>
      <c r="E604" s="357">
        <v>46148</v>
      </c>
      <c r="F604" s="157">
        <v>3</v>
      </c>
    </row>
    <row r="605" spans="1:6" x14ac:dyDescent="0.2">
      <c r="A605" s="157" t="s">
        <v>1791</v>
      </c>
      <c r="B605" s="157" t="s">
        <v>383</v>
      </c>
      <c r="C605" s="157" t="s">
        <v>1688</v>
      </c>
      <c r="D605" s="157" t="s">
        <v>1792</v>
      </c>
      <c r="E605" s="357">
        <v>46148</v>
      </c>
      <c r="F605" s="157">
        <v>4</v>
      </c>
    </row>
    <row r="606" spans="1:6" x14ac:dyDescent="0.2">
      <c r="A606" s="157" t="s">
        <v>860</v>
      </c>
      <c r="B606" s="157" t="s">
        <v>273</v>
      </c>
      <c r="C606" s="157" t="s">
        <v>838</v>
      </c>
      <c r="D606" s="157" t="s">
        <v>1793</v>
      </c>
      <c r="E606" s="357">
        <v>46148</v>
      </c>
      <c r="F606" s="157" t="s">
        <v>360</v>
      </c>
    </row>
    <row r="607" spans="1:6" x14ac:dyDescent="0.2">
      <c r="A607" s="157" t="s">
        <v>860</v>
      </c>
      <c r="B607" s="157" t="s">
        <v>192</v>
      </c>
      <c r="C607" s="157" t="s">
        <v>1392</v>
      </c>
      <c r="D607" s="157" t="s">
        <v>1792</v>
      </c>
      <c r="E607" s="357">
        <v>46148</v>
      </c>
      <c r="F607" s="157">
        <v>4</v>
      </c>
    </row>
    <row r="608" spans="1:6" x14ac:dyDescent="0.2">
      <c r="A608" s="157" t="s">
        <v>860</v>
      </c>
      <c r="B608" s="157" t="s">
        <v>1484</v>
      </c>
      <c r="C608" s="157" t="s">
        <v>1766</v>
      </c>
      <c r="D608" s="157" t="s">
        <v>1794</v>
      </c>
      <c r="E608" s="357">
        <v>46148</v>
      </c>
      <c r="F608" s="157">
        <v>4</v>
      </c>
    </row>
    <row r="609" spans="1:6" x14ac:dyDescent="0.2">
      <c r="A609" s="157" t="s">
        <v>860</v>
      </c>
      <c r="B609" s="157" t="s">
        <v>192</v>
      </c>
      <c r="C609" s="157" t="s">
        <v>838</v>
      </c>
      <c r="D609" s="157" t="s">
        <v>1795</v>
      </c>
      <c r="E609" s="357">
        <v>46149</v>
      </c>
      <c r="F609" s="157" t="s">
        <v>360</v>
      </c>
    </row>
    <row r="610" spans="1:6" x14ac:dyDescent="0.2">
      <c r="A610" s="157" t="s">
        <v>1459</v>
      </c>
      <c r="B610" s="157" t="s">
        <v>288</v>
      </c>
      <c r="C610" s="157" t="s">
        <v>1626</v>
      </c>
      <c r="D610" s="157" t="s">
        <v>1796</v>
      </c>
      <c r="E610" s="357">
        <v>46149</v>
      </c>
      <c r="F610" s="157">
        <v>3</v>
      </c>
    </row>
    <row r="611" spans="1:6" x14ac:dyDescent="0.2">
      <c r="A611" s="157" t="s">
        <v>860</v>
      </c>
      <c r="B611" s="157" t="s">
        <v>288</v>
      </c>
      <c r="C611" s="157" t="s">
        <v>1766</v>
      </c>
      <c r="D611" s="157" t="s">
        <v>1797</v>
      </c>
      <c r="E611" s="357">
        <v>46149</v>
      </c>
      <c r="F611" s="157" t="s">
        <v>360</v>
      </c>
    </row>
    <row r="612" spans="1:6" x14ac:dyDescent="0.2">
      <c r="A612" s="157" t="s">
        <v>860</v>
      </c>
      <c r="B612" s="157" t="s">
        <v>192</v>
      </c>
      <c r="C612" s="157" t="s">
        <v>1392</v>
      </c>
      <c r="D612" s="157" t="s">
        <v>1798</v>
      </c>
      <c r="E612" s="357">
        <v>46149</v>
      </c>
      <c r="F612" s="157" t="s">
        <v>360</v>
      </c>
    </row>
    <row r="613" spans="1:6" x14ac:dyDescent="0.2">
      <c r="A613" s="157" t="s">
        <v>860</v>
      </c>
      <c r="B613" s="157" t="s">
        <v>273</v>
      </c>
      <c r="C613" s="157" t="s">
        <v>643</v>
      </c>
      <c r="D613" s="157" t="s">
        <v>1465</v>
      </c>
      <c r="E613" s="357">
        <v>46150</v>
      </c>
      <c r="F613" s="157">
        <v>4</v>
      </c>
    </row>
    <row r="614" spans="1:6" x14ac:dyDescent="0.2">
      <c r="A614" s="157" t="s">
        <v>860</v>
      </c>
      <c r="B614" s="157" t="s">
        <v>1292</v>
      </c>
      <c r="C614" s="157" t="s">
        <v>1766</v>
      </c>
      <c r="D614" s="157" t="s">
        <v>1797</v>
      </c>
      <c r="E614" s="357">
        <v>46150</v>
      </c>
      <c r="F614" s="157" t="s">
        <v>360</v>
      </c>
    </row>
    <row r="615" spans="1:6" x14ac:dyDescent="0.2">
      <c r="A615" s="347" t="s">
        <v>1560</v>
      </c>
      <c r="B615" s="347" t="s">
        <v>1178</v>
      </c>
      <c r="C615" s="347" t="s">
        <v>1262</v>
      </c>
      <c r="D615" s="347" t="s">
        <v>698</v>
      </c>
      <c r="E615" s="348">
        <v>46146</v>
      </c>
      <c r="F615" s="347"/>
    </row>
    <row r="616" spans="1:6" x14ac:dyDescent="0.2">
      <c r="A616" s="347" t="s">
        <v>1148</v>
      </c>
      <c r="B616" s="347" t="s">
        <v>1562</v>
      </c>
      <c r="C616" s="347" t="s">
        <v>1398</v>
      </c>
      <c r="D616" s="347" t="s">
        <v>698</v>
      </c>
      <c r="E616" s="348">
        <v>46146</v>
      </c>
      <c r="F616" s="347"/>
    </row>
    <row r="617" spans="1:6" x14ac:dyDescent="0.2">
      <c r="A617" s="347" t="s">
        <v>1732</v>
      </c>
      <c r="B617" s="347" t="s">
        <v>1281</v>
      </c>
      <c r="C617" s="347" t="s">
        <v>1763</v>
      </c>
      <c r="D617" s="347" t="s">
        <v>698</v>
      </c>
      <c r="E617" s="348">
        <v>46147</v>
      </c>
      <c r="F617" s="347"/>
    </row>
    <row r="618" spans="1:6" x14ac:dyDescent="0.2">
      <c r="A618" s="347" t="s">
        <v>1148</v>
      </c>
      <c r="B618" s="347" t="s">
        <v>1178</v>
      </c>
      <c r="C618" s="347" t="s">
        <v>830</v>
      </c>
      <c r="D618" s="347" t="s">
        <v>698</v>
      </c>
      <c r="E618" s="348">
        <v>46147</v>
      </c>
      <c r="F618" s="347"/>
    </row>
    <row r="619" spans="1:6" x14ac:dyDescent="0.2">
      <c r="A619" s="347" t="s">
        <v>1148</v>
      </c>
      <c r="B619" s="347" t="s">
        <v>1178</v>
      </c>
      <c r="C619" s="347" t="s">
        <v>1595</v>
      </c>
      <c r="D619" s="347" t="s">
        <v>698</v>
      </c>
      <c r="E619" s="348">
        <v>46148</v>
      </c>
      <c r="F619" s="347"/>
    </row>
    <row r="620" spans="1:6" x14ac:dyDescent="0.2">
      <c r="A620" s="347" t="s">
        <v>1148</v>
      </c>
      <c r="B620" s="347" t="s">
        <v>1178</v>
      </c>
      <c r="C620" s="347" t="s">
        <v>1653</v>
      </c>
      <c r="D620" s="347" t="s">
        <v>698</v>
      </c>
      <c r="E620" s="348">
        <v>46148</v>
      </c>
      <c r="F620" s="347"/>
    </row>
    <row r="621" spans="1:6" x14ac:dyDescent="0.2">
      <c r="A621" s="346" t="s">
        <v>728</v>
      </c>
      <c r="B621" s="346" t="s">
        <v>728</v>
      </c>
      <c r="C621" s="346" t="s">
        <v>728</v>
      </c>
      <c r="D621" s="346" t="s">
        <v>728</v>
      </c>
      <c r="E621" s="346" t="s">
        <v>728</v>
      </c>
      <c r="F621" s="346" t="s">
        <v>728</v>
      </c>
    </row>
    <row r="622" spans="1:6" x14ac:dyDescent="0.2">
      <c r="A622" s="157" t="s">
        <v>1459</v>
      </c>
      <c r="B622" s="157" t="s">
        <v>288</v>
      </c>
      <c r="C622" s="157" t="s">
        <v>1505</v>
      </c>
      <c r="D622" s="157" t="s">
        <v>1799</v>
      </c>
      <c r="E622" s="357">
        <v>46153</v>
      </c>
      <c r="F622" s="157">
        <v>2</v>
      </c>
    </row>
    <row r="623" spans="1:6" x14ac:dyDescent="0.2">
      <c r="A623" s="157" t="s">
        <v>1459</v>
      </c>
      <c r="B623" s="157" t="s">
        <v>250</v>
      </c>
      <c r="C623" s="157" t="s">
        <v>1505</v>
      </c>
      <c r="D623" s="157" t="s">
        <v>1800</v>
      </c>
      <c r="E623" s="357">
        <v>46153</v>
      </c>
      <c r="F623" s="157">
        <v>4</v>
      </c>
    </row>
    <row r="624" spans="1:6" x14ac:dyDescent="0.2">
      <c r="A624" s="157" t="s">
        <v>1063</v>
      </c>
      <c r="B624" s="157" t="s">
        <v>205</v>
      </c>
      <c r="C624" s="157" t="s">
        <v>155</v>
      </c>
      <c r="D624" s="157" t="s">
        <v>1655</v>
      </c>
      <c r="E624" s="357">
        <v>46153</v>
      </c>
      <c r="F624" s="157" t="s">
        <v>360</v>
      </c>
    </row>
    <row r="625" spans="1:6" x14ac:dyDescent="0.2">
      <c r="A625" s="157" t="s">
        <v>1063</v>
      </c>
      <c r="B625" s="157" t="s">
        <v>257</v>
      </c>
      <c r="C625" s="157" t="s">
        <v>1446</v>
      </c>
      <c r="D625" s="157" t="s">
        <v>1801</v>
      </c>
      <c r="E625" s="357">
        <v>46153</v>
      </c>
      <c r="F625" s="157">
        <v>4</v>
      </c>
    </row>
    <row r="626" spans="1:6" x14ac:dyDescent="0.2">
      <c r="A626" s="157" t="s">
        <v>1063</v>
      </c>
      <c r="B626" s="157" t="s">
        <v>192</v>
      </c>
      <c r="C626" s="157" t="s">
        <v>885</v>
      </c>
      <c r="D626" s="157" t="s">
        <v>1802</v>
      </c>
      <c r="E626" s="357">
        <v>46153</v>
      </c>
      <c r="F626" s="157" t="s">
        <v>360</v>
      </c>
    </row>
    <row r="627" spans="1:6" x14ac:dyDescent="0.2">
      <c r="A627" s="157" t="s">
        <v>1063</v>
      </c>
      <c r="B627" s="157" t="s">
        <v>288</v>
      </c>
      <c r="C627" s="157" t="s">
        <v>885</v>
      </c>
      <c r="D627" s="157" t="s">
        <v>1803</v>
      </c>
      <c r="E627" s="357">
        <v>46153</v>
      </c>
      <c r="F627" s="157" t="s">
        <v>360</v>
      </c>
    </row>
    <row r="628" spans="1:6" x14ac:dyDescent="0.2">
      <c r="A628" s="157" t="s">
        <v>860</v>
      </c>
      <c r="B628" s="157" t="s">
        <v>230</v>
      </c>
      <c r="C628" s="157" t="s">
        <v>1766</v>
      </c>
      <c r="D628" s="157" t="s">
        <v>1804</v>
      </c>
      <c r="E628" s="357">
        <v>46153</v>
      </c>
      <c r="F628" s="157">
        <v>4</v>
      </c>
    </row>
    <row r="629" spans="1:6" x14ac:dyDescent="0.2">
      <c r="A629" s="157" t="s">
        <v>860</v>
      </c>
      <c r="B629" s="157" t="s">
        <v>475</v>
      </c>
      <c r="C629" s="157" t="s">
        <v>643</v>
      </c>
      <c r="D629" s="157" t="s">
        <v>1805</v>
      </c>
      <c r="E629" s="357">
        <v>46154</v>
      </c>
      <c r="F629" s="157" t="s">
        <v>360</v>
      </c>
    </row>
    <row r="630" spans="1:6" x14ac:dyDescent="0.2">
      <c r="A630" s="157" t="s">
        <v>860</v>
      </c>
      <c r="B630" s="157" t="s">
        <v>192</v>
      </c>
      <c r="C630" s="157" t="s">
        <v>1766</v>
      </c>
      <c r="D630" s="157" t="s">
        <v>1214</v>
      </c>
      <c r="E630" s="357">
        <v>46154</v>
      </c>
      <c r="F630" s="157">
        <v>4</v>
      </c>
    </row>
    <row r="631" spans="1:6" x14ac:dyDescent="0.2">
      <c r="A631" s="157" t="s">
        <v>860</v>
      </c>
      <c r="B631" s="157" t="s">
        <v>192</v>
      </c>
      <c r="C631" s="157" t="s">
        <v>1392</v>
      </c>
      <c r="D631" s="157" t="s">
        <v>1214</v>
      </c>
      <c r="E631" s="357">
        <v>46154</v>
      </c>
      <c r="F631" s="157">
        <v>4</v>
      </c>
    </row>
    <row r="632" spans="1:6" x14ac:dyDescent="0.2">
      <c r="A632" s="157" t="s">
        <v>1459</v>
      </c>
      <c r="B632" s="157" t="s">
        <v>202</v>
      </c>
      <c r="C632" s="157" t="s">
        <v>1505</v>
      </c>
      <c r="D632" s="157" t="s">
        <v>1806</v>
      </c>
      <c r="E632" s="357">
        <v>46154</v>
      </c>
      <c r="F632" s="157">
        <v>4</v>
      </c>
    </row>
    <row r="633" spans="1:6" x14ac:dyDescent="0.2">
      <c r="A633" s="157" t="s">
        <v>1459</v>
      </c>
      <c r="B633" s="157" t="s">
        <v>250</v>
      </c>
      <c r="C633" s="157" t="s">
        <v>1505</v>
      </c>
      <c r="D633" s="157" t="s">
        <v>1807</v>
      </c>
      <c r="E633" s="357">
        <v>46154</v>
      </c>
      <c r="F633" s="157">
        <v>2</v>
      </c>
    </row>
    <row r="634" spans="1:6" x14ac:dyDescent="0.2">
      <c r="A634" s="157" t="s">
        <v>1063</v>
      </c>
      <c r="B634" s="157" t="s">
        <v>205</v>
      </c>
      <c r="C634" s="157" t="s">
        <v>1009</v>
      </c>
      <c r="D634" s="157" t="s">
        <v>1808</v>
      </c>
      <c r="E634" s="357">
        <v>46154</v>
      </c>
      <c r="F634" s="157" t="s">
        <v>360</v>
      </c>
    </row>
    <row r="635" spans="1:6" x14ac:dyDescent="0.2">
      <c r="A635" s="157" t="s">
        <v>1063</v>
      </c>
      <c r="B635" s="157" t="s">
        <v>205</v>
      </c>
      <c r="C635" s="157" t="s">
        <v>1383</v>
      </c>
      <c r="D635" s="157" t="s">
        <v>1809</v>
      </c>
      <c r="E635" s="357">
        <v>46154</v>
      </c>
      <c r="F635" s="157">
        <v>4</v>
      </c>
    </row>
    <row r="636" spans="1:6" x14ac:dyDescent="0.2">
      <c r="A636" s="157" t="s">
        <v>1063</v>
      </c>
      <c r="B636" s="157" t="s">
        <v>257</v>
      </c>
      <c r="C636" s="157" t="s">
        <v>1446</v>
      </c>
      <c r="D636" s="157" t="s">
        <v>1810</v>
      </c>
      <c r="E636" s="357">
        <v>46154</v>
      </c>
      <c r="F636" s="157">
        <v>4</v>
      </c>
    </row>
    <row r="637" spans="1:6" x14ac:dyDescent="0.2">
      <c r="A637" s="157" t="s">
        <v>1063</v>
      </c>
      <c r="B637" s="157" t="s">
        <v>192</v>
      </c>
      <c r="C637" s="157" t="s">
        <v>1594</v>
      </c>
      <c r="D637" s="157" t="s">
        <v>1811</v>
      </c>
      <c r="E637" s="357">
        <v>46154</v>
      </c>
      <c r="F637" s="157" t="s">
        <v>360</v>
      </c>
    </row>
    <row r="638" spans="1:6" x14ac:dyDescent="0.2">
      <c r="A638" s="157" t="s">
        <v>31</v>
      </c>
      <c r="B638" s="157" t="s">
        <v>358</v>
      </c>
      <c r="C638" s="157" t="s">
        <v>1595</v>
      </c>
      <c r="D638" s="157" t="s">
        <v>1812</v>
      </c>
      <c r="E638" s="357">
        <v>46154</v>
      </c>
      <c r="F638" s="157">
        <v>3</v>
      </c>
    </row>
    <row r="639" spans="1:6" x14ac:dyDescent="0.2">
      <c r="A639" s="157" t="s">
        <v>1459</v>
      </c>
      <c r="B639" s="157" t="s">
        <v>250</v>
      </c>
      <c r="C639" s="157" t="s">
        <v>1377</v>
      </c>
      <c r="D639" s="157" t="s">
        <v>1813</v>
      </c>
      <c r="E639" s="357">
        <v>46154</v>
      </c>
      <c r="F639" s="157" t="s">
        <v>360</v>
      </c>
    </row>
    <row r="640" spans="1:6" x14ac:dyDescent="0.2">
      <c r="A640" s="157" t="s">
        <v>31</v>
      </c>
      <c r="B640" s="157" t="s">
        <v>288</v>
      </c>
      <c r="C640" s="157" t="s">
        <v>1480</v>
      </c>
      <c r="D640" s="157" t="s">
        <v>1814</v>
      </c>
      <c r="E640" s="357">
        <v>46154</v>
      </c>
      <c r="F640" s="157">
        <v>3</v>
      </c>
    </row>
    <row r="641" spans="1:6" x14ac:dyDescent="0.2">
      <c r="A641" s="157" t="s">
        <v>1063</v>
      </c>
      <c r="B641" s="157" t="s">
        <v>358</v>
      </c>
      <c r="C641" s="157" t="s">
        <v>1383</v>
      </c>
      <c r="D641" s="157" t="s">
        <v>1815</v>
      </c>
      <c r="E641" s="357">
        <v>46155</v>
      </c>
      <c r="F641" s="157">
        <v>4</v>
      </c>
    </row>
    <row r="642" spans="1:6" x14ac:dyDescent="0.2">
      <c r="A642" s="157" t="s">
        <v>1063</v>
      </c>
      <c r="B642" s="157" t="s">
        <v>358</v>
      </c>
      <c r="C642" s="157" t="s">
        <v>1594</v>
      </c>
      <c r="D642" s="157" t="s">
        <v>1816</v>
      </c>
      <c r="E642" s="357">
        <v>46155</v>
      </c>
      <c r="F642" s="157">
        <v>4</v>
      </c>
    </row>
    <row r="643" spans="1:6" x14ac:dyDescent="0.2">
      <c r="A643" s="157" t="s">
        <v>31</v>
      </c>
      <c r="B643" s="157" t="s">
        <v>1566</v>
      </c>
      <c r="C643" s="157" t="s">
        <v>830</v>
      </c>
      <c r="D643" s="157" t="s">
        <v>1817</v>
      </c>
      <c r="E643" s="357">
        <v>46155</v>
      </c>
      <c r="F643" s="157">
        <v>4</v>
      </c>
    </row>
    <row r="644" spans="1:6" x14ac:dyDescent="0.2">
      <c r="A644" s="157" t="s">
        <v>31</v>
      </c>
      <c r="B644" s="157" t="s">
        <v>213</v>
      </c>
      <c r="C644" s="157" t="s">
        <v>56</v>
      </c>
      <c r="D644" s="157" t="s">
        <v>1410</v>
      </c>
      <c r="E644" s="357">
        <v>46155</v>
      </c>
      <c r="F644" s="157">
        <v>4</v>
      </c>
    </row>
    <row r="645" spans="1:6" x14ac:dyDescent="0.2">
      <c r="A645" s="157" t="s">
        <v>31</v>
      </c>
      <c r="B645" s="157" t="s">
        <v>192</v>
      </c>
      <c r="C645" s="157" t="s">
        <v>1595</v>
      </c>
      <c r="D645" s="157" t="s">
        <v>1818</v>
      </c>
      <c r="E645" s="357">
        <v>46155</v>
      </c>
      <c r="F645" s="157">
        <v>4</v>
      </c>
    </row>
    <row r="646" spans="1:6" x14ac:dyDescent="0.2">
      <c r="A646" s="157" t="s">
        <v>860</v>
      </c>
      <c r="B646" s="157" t="s">
        <v>273</v>
      </c>
      <c r="C646" s="157" t="s">
        <v>1574</v>
      </c>
      <c r="D646" s="157" t="s">
        <v>1819</v>
      </c>
      <c r="E646" s="357">
        <v>46154</v>
      </c>
      <c r="F646" s="157">
        <v>4</v>
      </c>
    </row>
    <row r="647" spans="1:6" x14ac:dyDescent="0.2">
      <c r="A647" s="157" t="s">
        <v>1459</v>
      </c>
      <c r="B647" s="157" t="s">
        <v>192</v>
      </c>
      <c r="C647" s="157" t="s">
        <v>1377</v>
      </c>
      <c r="D647" s="157" t="s">
        <v>1820</v>
      </c>
      <c r="E647" s="357">
        <v>46155</v>
      </c>
      <c r="F647" s="157" t="s">
        <v>360</v>
      </c>
    </row>
    <row r="648" spans="1:6" x14ac:dyDescent="0.2">
      <c r="A648" s="157" t="s">
        <v>981</v>
      </c>
      <c r="B648" s="157" t="s">
        <v>230</v>
      </c>
      <c r="C648" s="157" t="s">
        <v>1262</v>
      </c>
      <c r="D648" s="157" t="s">
        <v>1821</v>
      </c>
      <c r="E648" s="357">
        <v>46155</v>
      </c>
      <c r="F648" s="157">
        <v>4</v>
      </c>
    </row>
    <row r="649" spans="1:6" x14ac:dyDescent="0.2">
      <c r="A649" s="157" t="s">
        <v>1791</v>
      </c>
      <c r="B649" s="157" t="s">
        <v>192</v>
      </c>
      <c r="C649" s="157" t="s">
        <v>1763</v>
      </c>
      <c r="D649" s="157" t="s">
        <v>1509</v>
      </c>
      <c r="E649" s="357">
        <v>46155</v>
      </c>
      <c r="F649" s="157">
        <v>4</v>
      </c>
    </row>
    <row r="650" spans="1:6" x14ac:dyDescent="0.2">
      <c r="A650" s="157" t="s">
        <v>1063</v>
      </c>
      <c r="B650" s="157" t="s">
        <v>257</v>
      </c>
      <c r="C650" s="157" t="s">
        <v>1446</v>
      </c>
      <c r="D650" s="157" t="s">
        <v>1822</v>
      </c>
      <c r="E650" s="357">
        <v>46156</v>
      </c>
      <c r="F650" s="157">
        <v>4</v>
      </c>
    </row>
    <row r="651" spans="1:6" x14ac:dyDescent="0.2">
      <c r="A651" s="157" t="s">
        <v>1063</v>
      </c>
      <c r="B651" s="157" t="s">
        <v>257</v>
      </c>
      <c r="C651" s="157" t="s">
        <v>1446</v>
      </c>
      <c r="D651" s="157" t="s">
        <v>1823</v>
      </c>
      <c r="E651" s="357">
        <v>46156</v>
      </c>
      <c r="F651" s="157">
        <v>3</v>
      </c>
    </row>
    <row r="652" spans="1:6" x14ac:dyDescent="0.2">
      <c r="A652" s="157" t="s">
        <v>1063</v>
      </c>
      <c r="B652" s="157" t="s">
        <v>358</v>
      </c>
      <c r="C652" s="157" t="s">
        <v>1009</v>
      </c>
      <c r="D652" s="157" t="s">
        <v>1824</v>
      </c>
      <c r="E652" s="357">
        <v>46156</v>
      </c>
      <c r="F652" s="157" t="s">
        <v>360</v>
      </c>
    </row>
    <row r="653" spans="1:6" x14ac:dyDescent="0.2">
      <c r="A653" s="157" t="s">
        <v>1459</v>
      </c>
      <c r="B653" s="157" t="s">
        <v>273</v>
      </c>
      <c r="C653" s="157" t="s">
        <v>1505</v>
      </c>
      <c r="D653" s="157" t="s">
        <v>1825</v>
      </c>
      <c r="E653" s="357">
        <v>46156</v>
      </c>
      <c r="F653" s="157">
        <v>3</v>
      </c>
    </row>
    <row r="654" spans="1:6" x14ac:dyDescent="0.2">
      <c r="A654" s="157" t="s">
        <v>860</v>
      </c>
      <c r="B654" s="157" t="s">
        <v>475</v>
      </c>
      <c r="C654" s="157" t="s">
        <v>1678</v>
      </c>
      <c r="D654" s="157" t="s">
        <v>1826</v>
      </c>
      <c r="E654" s="357">
        <v>46156</v>
      </c>
      <c r="F654" s="157" t="s">
        <v>360</v>
      </c>
    </row>
    <row r="655" spans="1:6" x14ac:dyDescent="0.2">
      <c r="A655" s="157" t="s">
        <v>860</v>
      </c>
      <c r="B655" s="157" t="s">
        <v>192</v>
      </c>
      <c r="C655" s="157" t="s">
        <v>838</v>
      </c>
      <c r="D655" s="157" t="s">
        <v>1827</v>
      </c>
      <c r="E655" s="357">
        <v>46156</v>
      </c>
      <c r="F655" s="157">
        <v>4</v>
      </c>
    </row>
    <row r="656" spans="1:6" x14ac:dyDescent="0.2">
      <c r="A656" s="157" t="s">
        <v>860</v>
      </c>
      <c r="B656" s="157" t="s">
        <v>192</v>
      </c>
      <c r="C656" s="157" t="s">
        <v>643</v>
      </c>
      <c r="D656" s="157" t="s">
        <v>1785</v>
      </c>
      <c r="E656" s="357">
        <v>46156</v>
      </c>
      <c r="F656" s="157" t="s">
        <v>1828</v>
      </c>
    </row>
    <row r="657" spans="1:6" x14ac:dyDescent="0.2">
      <c r="A657" s="157" t="s">
        <v>860</v>
      </c>
      <c r="B657" s="157" t="s">
        <v>192</v>
      </c>
      <c r="C657" s="157" t="s">
        <v>643</v>
      </c>
      <c r="D657" s="157" t="s">
        <v>1829</v>
      </c>
      <c r="E657" s="357">
        <v>46156</v>
      </c>
      <c r="F657" s="157" t="s">
        <v>1828</v>
      </c>
    </row>
    <row r="658" spans="1:6" x14ac:dyDescent="0.2">
      <c r="A658" s="157" t="s">
        <v>860</v>
      </c>
      <c r="B658" s="157" t="s">
        <v>192</v>
      </c>
      <c r="C658" s="157" t="s">
        <v>643</v>
      </c>
      <c r="D658" s="157" t="s">
        <v>1606</v>
      </c>
      <c r="E658" s="357">
        <v>46156</v>
      </c>
      <c r="F658" s="157" t="s">
        <v>1828</v>
      </c>
    </row>
    <row r="659" spans="1:6" x14ac:dyDescent="0.2">
      <c r="A659" s="157" t="s">
        <v>981</v>
      </c>
      <c r="B659" s="157" t="s">
        <v>1140</v>
      </c>
      <c r="C659" s="157" t="s">
        <v>1398</v>
      </c>
      <c r="D659" s="157" t="s">
        <v>1830</v>
      </c>
      <c r="E659" s="357">
        <v>46156</v>
      </c>
      <c r="F659" s="157">
        <v>3</v>
      </c>
    </row>
    <row r="660" spans="1:6" x14ac:dyDescent="0.2">
      <c r="A660" s="157" t="s">
        <v>981</v>
      </c>
      <c r="B660" s="157" t="s">
        <v>205</v>
      </c>
      <c r="C660" s="157" t="s">
        <v>1653</v>
      </c>
      <c r="D660" s="157" t="s">
        <v>1831</v>
      </c>
      <c r="E660" s="357">
        <v>46156</v>
      </c>
      <c r="F660" s="157" t="s">
        <v>360</v>
      </c>
    </row>
    <row r="661" spans="1:6" x14ac:dyDescent="0.2">
      <c r="A661" s="157" t="s">
        <v>1791</v>
      </c>
      <c r="B661" s="157" t="s">
        <v>213</v>
      </c>
      <c r="C661" s="157" t="s">
        <v>1763</v>
      </c>
      <c r="D661" s="157" t="s">
        <v>1832</v>
      </c>
      <c r="E661" s="357">
        <v>46156</v>
      </c>
      <c r="F661" s="157">
        <v>4</v>
      </c>
    </row>
    <row r="662" spans="1:6" x14ac:dyDescent="0.2">
      <c r="A662" s="157" t="s">
        <v>860</v>
      </c>
      <c r="B662" s="157" t="s">
        <v>475</v>
      </c>
      <c r="C662" s="157" t="s">
        <v>643</v>
      </c>
      <c r="D662" s="157" t="s">
        <v>1805</v>
      </c>
      <c r="E662" s="357">
        <v>46157</v>
      </c>
      <c r="F662" s="157" t="s">
        <v>360</v>
      </c>
    </row>
    <row r="663" spans="1:6" x14ac:dyDescent="0.2">
      <c r="A663" s="157" t="s">
        <v>860</v>
      </c>
      <c r="B663" s="157" t="s">
        <v>751</v>
      </c>
      <c r="C663" s="157" t="s">
        <v>838</v>
      </c>
      <c r="D663" s="157" t="s">
        <v>1193</v>
      </c>
      <c r="E663" s="357">
        <v>46157</v>
      </c>
      <c r="F663" s="157">
        <v>3</v>
      </c>
    </row>
    <row r="664" spans="1:6" x14ac:dyDescent="0.2">
      <c r="A664" s="347" t="s">
        <v>1261</v>
      </c>
      <c r="B664" s="347" t="s">
        <v>1178</v>
      </c>
      <c r="C664" s="347" t="s">
        <v>1262</v>
      </c>
      <c r="D664" s="347" t="s">
        <v>698</v>
      </c>
      <c r="E664" s="348">
        <v>46153</v>
      </c>
      <c r="F664" s="347"/>
    </row>
    <row r="665" spans="1:6" x14ac:dyDescent="0.2">
      <c r="A665" s="347" t="s">
        <v>1148</v>
      </c>
      <c r="B665" s="347" t="s">
        <v>1178</v>
      </c>
      <c r="C665" s="347" t="s">
        <v>1626</v>
      </c>
      <c r="D665" s="347" t="s">
        <v>698</v>
      </c>
      <c r="E665" s="348">
        <v>46154</v>
      </c>
      <c r="F665" s="347"/>
    </row>
    <row r="666" spans="1:6" x14ac:dyDescent="0.2">
      <c r="A666" s="347" t="s">
        <v>1148</v>
      </c>
      <c r="B666" s="347" t="s">
        <v>1178</v>
      </c>
      <c r="C666" s="347" t="s">
        <v>1574</v>
      </c>
      <c r="D666" s="347" t="s">
        <v>698</v>
      </c>
      <c r="E666" s="348">
        <v>46154</v>
      </c>
      <c r="F666" s="347"/>
    </row>
    <row r="667" spans="1:6" x14ac:dyDescent="0.2">
      <c r="A667" s="347" t="s">
        <v>1148</v>
      </c>
      <c r="B667" s="347" t="s">
        <v>1178</v>
      </c>
      <c r="C667" s="347" t="s">
        <v>1505</v>
      </c>
      <c r="D667" s="347" t="s">
        <v>698</v>
      </c>
      <c r="E667" s="348">
        <v>46154</v>
      </c>
      <c r="F667" s="347"/>
    </row>
    <row r="668" spans="1:6" x14ac:dyDescent="0.2">
      <c r="A668" s="347" t="s">
        <v>1210</v>
      </c>
      <c r="B668" s="347" t="s">
        <v>1178</v>
      </c>
      <c r="C668" s="347" t="s">
        <v>1627</v>
      </c>
      <c r="D668" s="347" t="s">
        <v>698</v>
      </c>
      <c r="E668" s="348">
        <v>46155</v>
      </c>
      <c r="F668" s="347"/>
    </row>
    <row r="669" spans="1:6" x14ac:dyDescent="0.2">
      <c r="A669" s="347" t="s">
        <v>1148</v>
      </c>
      <c r="B669" s="347" t="s">
        <v>1178</v>
      </c>
      <c r="C669" s="347" t="s">
        <v>1678</v>
      </c>
      <c r="D669" s="347" t="s">
        <v>698</v>
      </c>
      <c r="E669" s="348">
        <v>46155</v>
      </c>
      <c r="F669" s="347"/>
    </row>
    <row r="670" spans="1:6" x14ac:dyDescent="0.2">
      <c r="A670" s="347" t="s">
        <v>1148</v>
      </c>
      <c r="B670" s="347" t="s">
        <v>1178</v>
      </c>
      <c r="C670" s="347" t="s">
        <v>885</v>
      </c>
      <c r="D670" s="347" t="s">
        <v>698</v>
      </c>
      <c r="E670" s="348">
        <v>46155</v>
      </c>
      <c r="F670" s="347"/>
    </row>
    <row r="671" spans="1:6" x14ac:dyDescent="0.2">
      <c r="A671" s="347" t="s">
        <v>1148</v>
      </c>
      <c r="B671" s="347" t="s">
        <v>1178</v>
      </c>
      <c r="C671" s="347" t="s">
        <v>1594</v>
      </c>
      <c r="D671" s="347" t="s">
        <v>698</v>
      </c>
      <c r="E671" s="348">
        <v>46156</v>
      </c>
      <c r="F671" s="347"/>
    </row>
    <row r="672" spans="1:6" x14ac:dyDescent="0.2">
      <c r="A672" s="347" t="s">
        <v>1148</v>
      </c>
      <c r="B672" s="347" t="s">
        <v>1178</v>
      </c>
      <c r="C672" s="347" t="s">
        <v>1688</v>
      </c>
      <c r="D672" s="347" t="s">
        <v>698</v>
      </c>
      <c r="E672" s="348">
        <v>46156</v>
      </c>
      <c r="F672" s="347"/>
    </row>
    <row r="673" spans="1:6" x14ac:dyDescent="0.2">
      <c r="A673" s="346" t="s">
        <v>748</v>
      </c>
      <c r="B673" s="346" t="s">
        <v>748</v>
      </c>
      <c r="C673" s="346" t="s">
        <v>748</v>
      </c>
      <c r="D673" s="346" t="s">
        <v>748</v>
      </c>
      <c r="E673" s="346" t="s">
        <v>748</v>
      </c>
      <c r="F673" s="346" t="s">
        <v>748</v>
      </c>
    </row>
    <row r="674" spans="1:6" x14ac:dyDescent="0.2">
      <c r="A674" s="157" t="s">
        <v>1459</v>
      </c>
      <c r="B674" s="157" t="s">
        <v>250</v>
      </c>
      <c r="C674" s="157" t="s">
        <v>1505</v>
      </c>
      <c r="D674" s="157" t="s">
        <v>1833</v>
      </c>
      <c r="E674" s="357">
        <v>46160</v>
      </c>
      <c r="F674" s="157">
        <v>4</v>
      </c>
    </row>
    <row r="675" spans="1:6" x14ac:dyDescent="0.2">
      <c r="A675" s="157" t="s">
        <v>1791</v>
      </c>
      <c r="B675" s="157" t="s">
        <v>213</v>
      </c>
      <c r="C675" s="157" t="s">
        <v>1733</v>
      </c>
      <c r="D675" s="157" t="s">
        <v>1834</v>
      </c>
      <c r="E675" s="357">
        <v>46160</v>
      </c>
      <c r="F675" s="157">
        <v>3</v>
      </c>
    </row>
    <row r="676" spans="1:6" x14ac:dyDescent="0.2">
      <c r="A676" s="157" t="s">
        <v>860</v>
      </c>
      <c r="B676" s="157" t="s">
        <v>250</v>
      </c>
      <c r="C676" s="157" t="s">
        <v>643</v>
      </c>
      <c r="D676" s="157" t="s">
        <v>1835</v>
      </c>
      <c r="E676" s="357">
        <v>46160</v>
      </c>
      <c r="F676" s="157" t="s">
        <v>360</v>
      </c>
    </row>
    <row r="677" spans="1:6" x14ac:dyDescent="0.2">
      <c r="A677" s="157" t="s">
        <v>860</v>
      </c>
      <c r="B677" s="157" t="s">
        <v>383</v>
      </c>
      <c r="C677" s="157" t="s">
        <v>1574</v>
      </c>
      <c r="D677" s="157" t="s">
        <v>1575</v>
      </c>
      <c r="E677" s="357">
        <v>46160</v>
      </c>
      <c r="F677" s="157">
        <v>4</v>
      </c>
    </row>
    <row r="678" spans="1:6" x14ac:dyDescent="0.2">
      <c r="A678" s="157" t="s">
        <v>860</v>
      </c>
      <c r="B678" s="157" t="s">
        <v>1292</v>
      </c>
      <c r="C678" s="157" t="s">
        <v>157</v>
      </c>
      <c r="D678" s="157" t="s">
        <v>1836</v>
      </c>
      <c r="E678" s="357">
        <v>46160</v>
      </c>
      <c r="F678" s="157">
        <v>4</v>
      </c>
    </row>
    <row r="679" spans="1:6" x14ac:dyDescent="0.2">
      <c r="A679" s="157" t="s">
        <v>1063</v>
      </c>
      <c r="B679" s="157" t="s">
        <v>192</v>
      </c>
      <c r="C679" s="157" t="s">
        <v>1594</v>
      </c>
      <c r="D679" s="157" t="s">
        <v>1837</v>
      </c>
      <c r="E679" s="357">
        <v>46160</v>
      </c>
      <c r="F679" s="157" t="s">
        <v>360</v>
      </c>
    </row>
    <row r="680" spans="1:6" x14ac:dyDescent="0.2">
      <c r="A680" s="157" t="s">
        <v>1459</v>
      </c>
      <c r="B680" s="157" t="s">
        <v>192</v>
      </c>
      <c r="C680" s="157" t="s">
        <v>1505</v>
      </c>
      <c r="D680" s="157" t="s">
        <v>1838</v>
      </c>
      <c r="E680" s="357">
        <v>46161</v>
      </c>
      <c r="F680" s="157">
        <v>4</v>
      </c>
    </row>
    <row r="681" spans="1:6" x14ac:dyDescent="0.2">
      <c r="A681" s="157" t="s">
        <v>860</v>
      </c>
      <c r="B681" s="157" t="s">
        <v>192</v>
      </c>
      <c r="C681" s="157" t="s">
        <v>1839</v>
      </c>
      <c r="D681" s="157" t="s">
        <v>1840</v>
      </c>
      <c r="E681" s="357">
        <v>46161</v>
      </c>
      <c r="F681" s="157">
        <v>3</v>
      </c>
    </row>
    <row r="682" spans="1:6" x14ac:dyDescent="0.2">
      <c r="A682" s="157" t="s">
        <v>1791</v>
      </c>
      <c r="B682" s="157" t="s">
        <v>273</v>
      </c>
      <c r="C682" s="157" t="s">
        <v>1841</v>
      </c>
      <c r="D682" s="157" t="s">
        <v>1842</v>
      </c>
      <c r="E682" s="357">
        <v>46161</v>
      </c>
      <c r="F682" s="157" t="s">
        <v>360</v>
      </c>
    </row>
    <row r="683" spans="1:6" x14ac:dyDescent="0.2">
      <c r="A683" s="157" t="s">
        <v>1023</v>
      </c>
      <c r="B683" s="157" t="s">
        <v>273</v>
      </c>
      <c r="C683" s="157" t="s">
        <v>1446</v>
      </c>
      <c r="D683" s="157" t="s">
        <v>1842</v>
      </c>
      <c r="E683" s="357">
        <v>46161</v>
      </c>
      <c r="F683" s="157">
        <v>4</v>
      </c>
    </row>
    <row r="684" spans="1:6" x14ac:dyDescent="0.2">
      <c r="A684" s="157" t="s">
        <v>1023</v>
      </c>
      <c r="B684" s="157" t="s">
        <v>286</v>
      </c>
      <c r="C684" s="157" t="s">
        <v>155</v>
      </c>
      <c r="D684" s="157" t="s">
        <v>1843</v>
      </c>
      <c r="E684" s="357">
        <v>46161</v>
      </c>
      <c r="F684" s="157" t="s">
        <v>360</v>
      </c>
    </row>
    <row r="685" spans="1:6" x14ac:dyDescent="0.2">
      <c r="A685" s="157" t="s">
        <v>860</v>
      </c>
      <c r="B685" s="157" t="s">
        <v>383</v>
      </c>
      <c r="C685" s="157" t="s">
        <v>157</v>
      </c>
      <c r="D685" s="157" t="s">
        <v>1844</v>
      </c>
      <c r="E685" s="357">
        <v>46161</v>
      </c>
      <c r="F685" s="157">
        <v>3</v>
      </c>
    </row>
    <row r="686" spans="1:6" x14ac:dyDescent="0.2">
      <c r="A686" s="157" t="s">
        <v>1845</v>
      </c>
      <c r="B686" s="157" t="s">
        <v>205</v>
      </c>
      <c r="C686" s="157" t="s">
        <v>1009</v>
      </c>
      <c r="D686" s="157" t="s">
        <v>1846</v>
      </c>
      <c r="E686" s="357">
        <v>46161</v>
      </c>
      <c r="F686" s="157" t="s">
        <v>360</v>
      </c>
    </row>
    <row r="687" spans="1:6" x14ac:dyDescent="0.2">
      <c r="A687" s="157" t="s">
        <v>981</v>
      </c>
      <c r="B687" s="157" t="s">
        <v>205</v>
      </c>
      <c r="C687" s="157" t="s">
        <v>1398</v>
      </c>
      <c r="D687" s="157" t="s">
        <v>1847</v>
      </c>
      <c r="E687" s="357" t="s">
        <v>1848</v>
      </c>
      <c r="F687" s="157" t="s">
        <v>360</v>
      </c>
    </row>
    <row r="688" spans="1:6" x14ac:dyDescent="0.2">
      <c r="A688" s="157" t="s">
        <v>981</v>
      </c>
      <c r="B688" s="157" t="s">
        <v>293</v>
      </c>
      <c r="C688" s="157" t="s">
        <v>1262</v>
      </c>
      <c r="D688" s="157" t="s">
        <v>1849</v>
      </c>
      <c r="E688" s="357" t="s">
        <v>1848</v>
      </c>
      <c r="F688" s="157">
        <v>3</v>
      </c>
    </row>
    <row r="689" spans="1:6" x14ac:dyDescent="0.2">
      <c r="A689" s="157" t="s">
        <v>981</v>
      </c>
      <c r="B689" s="157" t="s">
        <v>192</v>
      </c>
      <c r="C689" s="157" t="s">
        <v>1262</v>
      </c>
      <c r="D689" s="157" t="s">
        <v>1850</v>
      </c>
      <c r="E689" s="357" t="s">
        <v>1848</v>
      </c>
      <c r="F689" s="157">
        <v>2</v>
      </c>
    </row>
    <row r="690" spans="1:6" x14ac:dyDescent="0.2">
      <c r="A690" s="157" t="s">
        <v>860</v>
      </c>
      <c r="B690" s="157" t="s">
        <v>192</v>
      </c>
      <c r="C690" s="157" t="s">
        <v>157</v>
      </c>
      <c r="D690" s="157" t="s">
        <v>1851</v>
      </c>
      <c r="E690" s="357" t="s">
        <v>1848</v>
      </c>
      <c r="F690" s="157">
        <v>4</v>
      </c>
    </row>
    <row r="691" spans="1:6" x14ac:dyDescent="0.2">
      <c r="A691" s="157" t="s">
        <v>860</v>
      </c>
      <c r="B691" s="157" t="s">
        <v>930</v>
      </c>
      <c r="C691" s="157" t="s">
        <v>1009</v>
      </c>
      <c r="D691" s="157" t="s">
        <v>1130</v>
      </c>
      <c r="E691" s="357" t="s">
        <v>1848</v>
      </c>
      <c r="F691" s="157" t="s">
        <v>360</v>
      </c>
    </row>
    <row r="692" spans="1:6" x14ac:dyDescent="0.2">
      <c r="A692" s="157" t="s">
        <v>860</v>
      </c>
      <c r="B692" s="157" t="s">
        <v>192</v>
      </c>
      <c r="C692" s="157" t="s">
        <v>1678</v>
      </c>
      <c r="D692" s="157" t="s">
        <v>988</v>
      </c>
      <c r="E692" s="357" t="s">
        <v>1848</v>
      </c>
      <c r="F692" s="157" t="s">
        <v>360</v>
      </c>
    </row>
    <row r="693" spans="1:6" x14ac:dyDescent="0.2">
      <c r="A693" s="157" t="s">
        <v>1023</v>
      </c>
      <c r="B693" s="157" t="s">
        <v>273</v>
      </c>
      <c r="C693" s="157" t="s">
        <v>1852</v>
      </c>
      <c r="D693" s="157" t="s">
        <v>1316</v>
      </c>
      <c r="E693" s="357" t="s">
        <v>1848</v>
      </c>
      <c r="F693" s="157" t="s">
        <v>360</v>
      </c>
    </row>
    <row r="694" spans="1:6" x14ac:dyDescent="0.2">
      <c r="A694" s="157" t="s">
        <v>1023</v>
      </c>
      <c r="B694" s="157" t="s">
        <v>383</v>
      </c>
      <c r="C694" s="157" t="s">
        <v>1852</v>
      </c>
      <c r="D694" s="157" t="s">
        <v>1853</v>
      </c>
      <c r="E694" s="357" t="s">
        <v>1848</v>
      </c>
      <c r="F694" s="157" t="s">
        <v>360</v>
      </c>
    </row>
    <row r="695" spans="1:6" x14ac:dyDescent="0.2">
      <c r="A695" s="157" t="s">
        <v>981</v>
      </c>
      <c r="B695" s="157" t="s">
        <v>205</v>
      </c>
      <c r="C695" s="157" t="s">
        <v>1653</v>
      </c>
      <c r="D695" s="157" t="s">
        <v>1854</v>
      </c>
      <c r="E695" s="357" t="s">
        <v>1855</v>
      </c>
      <c r="F695" s="157">
        <v>3</v>
      </c>
    </row>
    <row r="696" spans="1:6" x14ac:dyDescent="0.2">
      <c r="A696" s="157" t="s">
        <v>1791</v>
      </c>
      <c r="B696" s="157" t="s">
        <v>250</v>
      </c>
      <c r="C696" s="157" t="s">
        <v>1733</v>
      </c>
      <c r="D696" s="157" t="s">
        <v>1856</v>
      </c>
      <c r="E696" s="357" t="s">
        <v>1855</v>
      </c>
      <c r="F696" s="157">
        <v>4</v>
      </c>
    </row>
    <row r="697" spans="1:6" x14ac:dyDescent="0.2">
      <c r="A697" s="157" t="s">
        <v>1845</v>
      </c>
      <c r="B697" s="157" t="s">
        <v>288</v>
      </c>
      <c r="C697" s="157" t="s">
        <v>1841</v>
      </c>
      <c r="D697" s="157" t="s">
        <v>1857</v>
      </c>
      <c r="E697" s="357" t="s">
        <v>1855</v>
      </c>
      <c r="F697" s="157">
        <v>4</v>
      </c>
    </row>
    <row r="698" spans="1:6" x14ac:dyDescent="0.2">
      <c r="A698" s="157" t="s">
        <v>1459</v>
      </c>
      <c r="B698" s="157" t="s">
        <v>288</v>
      </c>
      <c r="C698" s="157" t="s">
        <v>1626</v>
      </c>
      <c r="D698" s="157" t="s">
        <v>1858</v>
      </c>
      <c r="E698" s="357">
        <v>46163</v>
      </c>
      <c r="F698" s="157">
        <v>3</v>
      </c>
    </row>
    <row r="699" spans="1:6" x14ac:dyDescent="0.2">
      <c r="A699" s="157" t="s">
        <v>1023</v>
      </c>
      <c r="B699" s="157" t="s">
        <v>213</v>
      </c>
      <c r="C699" s="157" t="s">
        <v>1383</v>
      </c>
      <c r="D699" s="157" t="s">
        <v>1859</v>
      </c>
      <c r="E699" s="357">
        <v>46163</v>
      </c>
      <c r="F699" s="157">
        <v>4</v>
      </c>
    </row>
    <row r="700" spans="1:6" x14ac:dyDescent="0.2">
      <c r="A700" s="157" t="s">
        <v>1023</v>
      </c>
      <c r="B700" s="157" t="s">
        <v>286</v>
      </c>
      <c r="C700" s="157" t="s">
        <v>155</v>
      </c>
      <c r="D700" s="157" t="s">
        <v>1860</v>
      </c>
      <c r="E700" s="357">
        <v>46163</v>
      </c>
      <c r="F700" s="157" t="s">
        <v>360</v>
      </c>
    </row>
    <row r="701" spans="1:6" x14ac:dyDescent="0.2">
      <c r="A701" s="157" t="s">
        <v>31</v>
      </c>
      <c r="B701" s="157" t="s">
        <v>192</v>
      </c>
      <c r="C701" s="157" t="s">
        <v>830</v>
      </c>
      <c r="D701" s="157" t="s">
        <v>1861</v>
      </c>
      <c r="E701" s="357">
        <v>46164</v>
      </c>
      <c r="F701" s="157">
        <v>4</v>
      </c>
    </row>
    <row r="702" spans="1:6" x14ac:dyDescent="0.2">
      <c r="A702" s="347" t="s">
        <v>1148</v>
      </c>
      <c r="B702" s="347" t="s">
        <v>1178</v>
      </c>
      <c r="C702" s="347" t="s">
        <v>1398</v>
      </c>
      <c r="D702" s="347" t="s">
        <v>698</v>
      </c>
      <c r="E702" s="348">
        <v>46160</v>
      </c>
      <c r="F702" s="347"/>
    </row>
    <row r="703" spans="1:6" x14ac:dyDescent="0.2">
      <c r="A703" s="347" t="s">
        <v>1862</v>
      </c>
      <c r="B703" s="347" t="s">
        <v>1728</v>
      </c>
      <c r="C703" s="347" t="s">
        <v>1863</v>
      </c>
      <c r="D703" s="347" t="s">
        <v>698</v>
      </c>
      <c r="E703" s="348">
        <v>46160</v>
      </c>
      <c r="F703" s="347"/>
    </row>
    <row r="704" spans="1:6" x14ac:dyDescent="0.2">
      <c r="A704" s="347" t="s">
        <v>1148</v>
      </c>
      <c r="B704" s="347" t="s">
        <v>1178</v>
      </c>
      <c r="C704" s="347" t="s">
        <v>1446</v>
      </c>
      <c r="D704" s="347" t="s">
        <v>698</v>
      </c>
      <c r="E704" s="358">
        <v>46161</v>
      </c>
      <c r="F704" s="347"/>
    </row>
    <row r="705" spans="1:6" x14ac:dyDescent="0.2">
      <c r="A705" s="347" t="s">
        <v>1148</v>
      </c>
      <c r="B705" s="347" t="s">
        <v>1178</v>
      </c>
      <c r="C705" s="347" t="s">
        <v>1733</v>
      </c>
      <c r="D705" s="347" t="s">
        <v>698</v>
      </c>
      <c r="E705" s="358">
        <v>46161</v>
      </c>
      <c r="F705" s="347"/>
    </row>
    <row r="706" spans="1:6" x14ac:dyDescent="0.2">
      <c r="A706" s="347" t="s">
        <v>1148</v>
      </c>
      <c r="B706" s="347" t="s">
        <v>1864</v>
      </c>
      <c r="C706" s="347" t="s">
        <v>1865</v>
      </c>
      <c r="D706" s="347" t="s">
        <v>698</v>
      </c>
      <c r="E706" s="358">
        <v>46161</v>
      </c>
      <c r="F706" s="347"/>
    </row>
    <row r="707" spans="1:6" x14ac:dyDescent="0.2">
      <c r="A707" s="347" t="s">
        <v>1148</v>
      </c>
      <c r="B707" s="347" t="s">
        <v>1178</v>
      </c>
      <c r="C707" s="347" t="s">
        <v>643</v>
      </c>
      <c r="D707" s="347" t="s">
        <v>698</v>
      </c>
      <c r="E707" s="358">
        <v>46162</v>
      </c>
      <c r="F707" s="347"/>
    </row>
    <row r="708" spans="1:6" x14ac:dyDescent="0.2">
      <c r="A708" s="346" t="s">
        <v>766</v>
      </c>
      <c r="B708" s="346" t="s">
        <v>766</v>
      </c>
      <c r="C708" s="346" t="s">
        <v>766</v>
      </c>
      <c r="D708" s="346" t="s">
        <v>766</v>
      </c>
      <c r="E708" s="346" t="s">
        <v>766</v>
      </c>
      <c r="F708" s="346" t="s">
        <v>766</v>
      </c>
    </row>
    <row r="709" spans="1:6" x14ac:dyDescent="0.2">
      <c r="A709" s="157" t="s">
        <v>1459</v>
      </c>
      <c r="B709" s="157" t="s">
        <v>213</v>
      </c>
      <c r="C709" s="157" t="s">
        <v>1626</v>
      </c>
      <c r="D709" s="157" t="s">
        <v>1866</v>
      </c>
      <c r="E709" s="357">
        <v>46167</v>
      </c>
      <c r="F709" s="157">
        <v>4</v>
      </c>
    </row>
    <row r="710" spans="1:6" x14ac:dyDescent="0.2">
      <c r="A710" s="157" t="s">
        <v>860</v>
      </c>
      <c r="B710" s="157" t="s">
        <v>192</v>
      </c>
      <c r="C710" s="157" t="s">
        <v>1678</v>
      </c>
      <c r="D710" s="157" t="s">
        <v>1867</v>
      </c>
      <c r="E710" s="357">
        <v>46167</v>
      </c>
      <c r="F710" s="157" t="s">
        <v>360</v>
      </c>
    </row>
    <row r="711" spans="1:6" x14ac:dyDescent="0.2">
      <c r="A711" s="157" t="s">
        <v>860</v>
      </c>
      <c r="B711" s="157" t="s">
        <v>273</v>
      </c>
      <c r="C711" s="157" t="s">
        <v>157</v>
      </c>
      <c r="D711" s="157" t="s">
        <v>1316</v>
      </c>
      <c r="E711" s="357">
        <v>46167</v>
      </c>
      <c r="F711" s="157">
        <v>4</v>
      </c>
    </row>
    <row r="712" spans="1:6" x14ac:dyDescent="0.2">
      <c r="A712" s="157" t="s">
        <v>1063</v>
      </c>
      <c r="B712" s="157" t="s">
        <v>286</v>
      </c>
      <c r="C712" s="157" t="s">
        <v>155</v>
      </c>
      <c r="D712" s="157" t="s">
        <v>1868</v>
      </c>
      <c r="E712" s="357">
        <v>46167</v>
      </c>
      <c r="F712" s="157">
        <v>3</v>
      </c>
    </row>
    <row r="713" spans="1:6" x14ac:dyDescent="0.2">
      <c r="A713" s="157" t="s">
        <v>1063</v>
      </c>
      <c r="B713" s="157" t="s">
        <v>192</v>
      </c>
      <c r="C713" s="157" t="s">
        <v>1594</v>
      </c>
      <c r="D713" s="157" t="s">
        <v>1869</v>
      </c>
      <c r="E713" s="357">
        <v>46167</v>
      </c>
      <c r="F713" s="157" t="s">
        <v>360</v>
      </c>
    </row>
    <row r="714" spans="1:6" x14ac:dyDescent="0.2">
      <c r="A714" s="157" t="s">
        <v>860</v>
      </c>
      <c r="B714" s="157" t="s">
        <v>192</v>
      </c>
      <c r="C714" s="157" t="s">
        <v>1009</v>
      </c>
      <c r="D714" s="157" t="s">
        <v>1870</v>
      </c>
      <c r="E714" s="357">
        <v>46167</v>
      </c>
      <c r="F714" s="157" t="s">
        <v>360</v>
      </c>
    </row>
    <row r="715" spans="1:6" x14ac:dyDescent="0.2">
      <c r="A715" s="157" t="s">
        <v>981</v>
      </c>
      <c r="B715" s="157" t="s">
        <v>230</v>
      </c>
      <c r="C715" s="157" t="s">
        <v>1653</v>
      </c>
      <c r="D715" s="359" t="s">
        <v>1871</v>
      </c>
      <c r="E715" s="357">
        <v>46167</v>
      </c>
      <c r="F715" s="157">
        <v>3</v>
      </c>
    </row>
    <row r="716" spans="1:6" x14ac:dyDescent="0.2">
      <c r="A716" s="157" t="s">
        <v>1791</v>
      </c>
      <c r="B716" s="157" t="s">
        <v>205</v>
      </c>
      <c r="C716" s="157" t="s">
        <v>1733</v>
      </c>
      <c r="D716" s="359" t="s">
        <v>1872</v>
      </c>
      <c r="E716" s="357">
        <v>46167</v>
      </c>
      <c r="F716" s="157">
        <v>2</v>
      </c>
    </row>
    <row r="717" spans="1:6" x14ac:dyDescent="0.2">
      <c r="A717" s="157" t="s">
        <v>860</v>
      </c>
      <c r="B717" s="157" t="s">
        <v>358</v>
      </c>
      <c r="C717" s="157" t="s">
        <v>1009</v>
      </c>
      <c r="D717" s="157" t="s">
        <v>1873</v>
      </c>
      <c r="E717" s="357">
        <v>46168</v>
      </c>
      <c r="F717" s="157" t="s">
        <v>360</v>
      </c>
    </row>
    <row r="718" spans="1:6" x14ac:dyDescent="0.2">
      <c r="A718" s="157" t="s">
        <v>1459</v>
      </c>
      <c r="B718" s="157" t="s">
        <v>213</v>
      </c>
      <c r="C718" s="157" t="s">
        <v>1626</v>
      </c>
      <c r="D718" s="157" t="s">
        <v>1874</v>
      </c>
      <c r="E718" s="357">
        <v>46168</v>
      </c>
      <c r="F718" s="157">
        <v>4</v>
      </c>
    </row>
    <row r="719" spans="1:6" x14ac:dyDescent="0.2">
      <c r="A719" s="157" t="s">
        <v>1845</v>
      </c>
      <c r="B719" s="157" t="s">
        <v>273</v>
      </c>
      <c r="C719" s="157" t="s">
        <v>1688</v>
      </c>
      <c r="D719" s="157" t="s">
        <v>1842</v>
      </c>
      <c r="E719" s="357">
        <v>46168</v>
      </c>
      <c r="F719" s="157">
        <v>4</v>
      </c>
    </row>
    <row r="720" spans="1:6" x14ac:dyDescent="0.2">
      <c r="A720" s="157" t="s">
        <v>1063</v>
      </c>
      <c r="B720" s="157" t="s">
        <v>286</v>
      </c>
      <c r="C720" s="157" t="s">
        <v>155</v>
      </c>
      <c r="D720" s="157" t="s">
        <v>1875</v>
      </c>
      <c r="E720" s="357">
        <v>46168</v>
      </c>
      <c r="F720" s="157" t="s">
        <v>360</v>
      </c>
    </row>
    <row r="721" spans="1:6" x14ac:dyDescent="0.2">
      <c r="A721" s="157" t="s">
        <v>1063</v>
      </c>
      <c r="B721" s="157" t="s">
        <v>213</v>
      </c>
      <c r="C721" s="157" t="s">
        <v>1383</v>
      </c>
      <c r="D721" s="157" t="s">
        <v>1876</v>
      </c>
      <c r="E721" s="357">
        <v>46168</v>
      </c>
      <c r="F721" s="157">
        <v>4</v>
      </c>
    </row>
    <row r="722" spans="1:6" x14ac:dyDescent="0.2">
      <c r="A722" s="157" t="s">
        <v>860</v>
      </c>
      <c r="B722" s="157" t="s">
        <v>475</v>
      </c>
      <c r="C722" s="157" t="s">
        <v>643</v>
      </c>
      <c r="D722" s="157" t="s">
        <v>1877</v>
      </c>
      <c r="E722" s="357">
        <v>46168</v>
      </c>
      <c r="F722" s="157" t="s">
        <v>360</v>
      </c>
    </row>
    <row r="723" spans="1:6" x14ac:dyDescent="0.2">
      <c r="A723" s="157" t="s">
        <v>31</v>
      </c>
      <c r="B723" s="157" t="s">
        <v>383</v>
      </c>
      <c r="C723" s="157" t="s">
        <v>1627</v>
      </c>
      <c r="D723" s="157" t="s">
        <v>386</v>
      </c>
      <c r="E723" s="357">
        <v>46168</v>
      </c>
      <c r="F723" s="157">
        <v>3</v>
      </c>
    </row>
    <row r="724" spans="1:6" x14ac:dyDescent="0.2">
      <c r="A724" s="157" t="s">
        <v>981</v>
      </c>
      <c r="B724" s="157" t="s">
        <v>192</v>
      </c>
      <c r="C724" s="157" t="s">
        <v>1262</v>
      </c>
      <c r="D724" s="157" t="s">
        <v>1878</v>
      </c>
      <c r="E724" s="357">
        <v>46168</v>
      </c>
      <c r="F724" s="157">
        <v>4</v>
      </c>
    </row>
    <row r="725" spans="1:6" x14ac:dyDescent="0.2">
      <c r="A725" s="157" t="s">
        <v>1459</v>
      </c>
      <c r="B725" s="157" t="s">
        <v>250</v>
      </c>
      <c r="C725" s="157" t="s">
        <v>1377</v>
      </c>
      <c r="D725" s="157" t="s">
        <v>1879</v>
      </c>
      <c r="E725" s="357">
        <v>46169</v>
      </c>
      <c r="F725" s="157" t="s">
        <v>360</v>
      </c>
    </row>
    <row r="726" spans="1:6" x14ac:dyDescent="0.2">
      <c r="A726" s="157" t="s">
        <v>860</v>
      </c>
      <c r="B726" s="157" t="s">
        <v>475</v>
      </c>
      <c r="C726" s="157" t="s">
        <v>643</v>
      </c>
      <c r="D726" s="157" t="s">
        <v>1880</v>
      </c>
      <c r="E726" s="357">
        <v>46169</v>
      </c>
      <c r="F726" s="157" t="s">
        <v>360</v>
      </c>
    </row>
    <row r="727" spans="1:6" x14ac:dyDescent="0.2">
      <c r="A727" s="347" t="s">
        <v>1148</v>
      </c>
      <c r="B727" s="347" t="s">
        <v>1178</v>
      </c>
      <c r="C727" s="347" t="s">
        <v>1763</v>
      </c>
      <c r="D727" s="347" t="s">
        <v>698</v>
      </c>
      <c r="E727" s="358">
        <v>46168</v>
      </c>
      <c r="F727" s="347"/>
    </row>
    <row r="728" spans="1:6" x14ac:dyDescent="0.2">
      <c r="A728" s="347" t="s">
        <v>1148</v>
      </c>
      <c r="B728" s="347" t="s">
        <v>1178</v>
      </c>
      <c r="C728" s="347" t="s">
        <v>1561</v>
      </c>
      <c r="D728" s="347" t="s">
        <v>698</v>
      </c>
      <c r="E728" s="358">
        <v>46168</v>
      </c>
      <c r="F728" s="347"/>
    </row>
    <row r="729" spans="1:6" x14ac:dyDescent="0.2">
      <c r="A729" s="347" t="s">
        <v>1148</v>
      </c>
      <c r="B729" s="347" t="s">
        <v>1881</v>
      </c>
      <c r="C729" s="347" t="s">
        <v>1882</v>
      </c>
      <c r="D729" s="347" t="s">
        <v>698</v>
      </c>
      <c r="E729" s="358">
        <v>46168</v>
      </c>
      <c r="F729" s="347"/>
    </row>
    <row r="730" spans="1:6" x14ac:dyDescent="0.2">
      <c r="A730" s="347" t="s">
        <v>695</v>
      </c>
      <c r="B730" s="347" t="s">
        <v>1883</v>
      </c>
      <c r="C730" s="347" t="s">
        <v>1592</v>
      </c>
      <c r="D730" s="347" t="s">
        <v>698</v>
      </c>
      <c r="E730" s="358">
        <v>46169</v>
      </c>
      <c r="F730" s="347"/>
    </row>
    <row r="731" spans="1:6" x14ac:dyDescent="0.2">
      <c r="A731" s="347" t="s">
        <v>1148</v>
      </c>
      <c r="B731" s="347" t="s">
        <v>1881</v>
      </c>
      <c r="C731" s="347" t="s">
        <v>1595</v>
      </c>
      <c r="D731" s="347" t="s">
        <v>698</v>
      </c>
      <c r="E731" s="358">
        <v>46169</v>
      </c>
      <c r="F731" s="347"/>
    </row>
    <row r="732" spans="1:6" x14ac:dyDescent="0.2">
      <c r="A732" s="347" t="s">
        <v>1148</v>
      </c>
      <c r="B732" s="347" t="s">
        <v>1178</v>
      </c>
      <c r="C732" s="347" t="s">
        <v>1505</v>
      </c>
      <c r="D732" s="347" t="s">
        <v>698</v>
      </c>
      <c r="E732" s="358">
        <v>46169</v>
      </c>
      <c r="F732" s="347"/>
    </row>
    <row r="733" spans="1:6" x14ac:dyDescent="0.2">
      <c r="A733" s="347" t="s">
        <v>1148</v>
      </c>
      <c r="B733" s="347" t="s">
        <v>1178</v>
      </c>
      <c r="C733" s="347" t="s">
        <v>1594</v>
      </c>
      <c r="D733" s="347" t="s">
        <v>698</v>
      </c>
      <c r="E733" s="358">
        <v>46170</v>
      </c>
      <c r="F733" s="347"/>
    </row>
    <row r="734" spans="1:6" x14ac:dyDescent="0.2">
      <c r="A734" s="347" t="s">
        <v>1625</v>
      </c>
      <c r="B734" s="347" t="s">
        <v>656</v>
      </c>
      <c r="C734" s="347" t="s">
        <v>1884</v>
      </c>
      <c r="D734" s="347" t="s">
        <v>698</v>
      </c>
      <c r="E734" s="358">
        <v>46170</v>
      </c>
      <c r="F734" s="347"/>
    </row>
    <row r="735" spans="1:6" x14ac:dyDescent="0.2">
      <c r="A735" s="347" t="s">
        <v>1148</v>
      </c>
      <c r="B735" s="347" t="s">
        <v>1178</v>
      </c>
      <c r="C735" s="347" t="s">
        <v>1627</v>
      </c>
      <c r="D735" s="347" t="s">
        <v>698</v>
      </c>
      <c r="E735" s="358">
        <v>46170</v>
      </c>
      <c r="F735" s="347"/>
    </row>
    <row r="736" spans="1:6" x14ac:dyDescent="0.2">
      <c r="A736" s="347" t="s">
        <v>1148</v>
      </c>
      <c r="B736" s="347" t="s">
        <v>1178</v>
      </c>
      <c r="C736" s="347" t="s">
        <v>1688</v>
      </c>
      <c r="D736" s="347" t="s">
        <v>698</v>
      </c>
      <c r="E736" s="358">
        <v>46170</v>
      </c>
      <c r="F736" s="347"/>
    </row>
    <row r="737" spans="1:6" x14ac:dyDescent="0.2">
      <c r="A737" s="347" t="s">
        <v>1148</v>
      </c>
      <c r="B737" s="347" t="s">
        <v>1178</v>
      </c>
      <c r="C737" s="347" t="s">
        <v>1626</v>
      </c>
      <c r="D737" s="347" t="s">
        <v>698</v>
      </c>
      <c r="E737" s="358">
        <v>46171</v>
      </c>
      <c r="F737" s="347"/>
    </row>
    <row r="738" spans="1:6" x14ac:dyDescent="0.2">
      <c r="A738" s="347" t="s">
        <v>1590</v>
      </c>
      <c r="B738" s="347" t="s">
        <v>1885</v>
      </c>
      <c r="C738" s="347" t="s">
        <v>1886</v>
      </c>
      <c r="D738" s="347" t="s">
        <v>698</v>
      </c>
      <c r="E738" s="358">
        <v>46171</v>
      </c>
      <c r="F738" s="347"/>
    </row>
    <row r="739" spans="1:6" x14ac:dyDescent="0.2">
      <c r="A739" s="346" t="s">
        <v>777</v>
      </c>
      <c r="B739" s="346" t="s">
        <v>777</v>
      </c>
      <c r="C739" s="346" t="s">
        <v>777</v>
      </c>
      <c r="D739" s="346" t="s">
        <v>777</v>
      </c>
      <c r="E739" s="346" t="s">
        <v>777</v>
      </c>
      <c r="F739" s="346" t="s">
        <v>777</v>
      </c>
    </row>
    <row r="740" spans="1:6" x14ac:dyDescent="0.2">
      <c r="A740" s="346" t="s">
        <v>784</v>
      </c>
      <c r="B740" s="346" t="s">
        <v>784</v>
      </c>
      <c r="C740" s="346" t="s">
        <v>784</v>
      </c>
      <c r="D740" s="346" t="s">
        <v>784</v>
      </c>
      <c r="E740" s="346" t="s">
        <v>784</v>
      </c>
      <c r="F740" s="346" t="s">
        <v>784</v>
      </c>
    </row>
    <row r="741" spans="1:6" x14ac:dyDescent="0.2">
      <c r="A741" s="346" t="s">
        <v>798</v>
      </c>
      <c r="B741" s="346" t="s">
        <v>798</v>
      </c>
      <c r="C741" s="346" t="s">
        <v>798</v>
      </c>
      <c r="D741" s="346" t="s">
        <v>798</v>
      </c>
      <c r="E741" s="346" t="s">
        <v>798</v>
      </c>
      <c r="F741" s="346" t="s">
        <v>798</v>
      </c>
    </row>
    <row r="742" spans="1:6" x14ac:dyDescent="0.2">
      <c r="A742" s="346" t="s">
        <v>816</v>
      </c>
      <c r="B742" s="346" t="s">
        <v>816</v>
      </c>
      <c r="C742" s="346" t="s">
        <v>816</v>
      </c>
      <c r="D742" s="346" t="s">
        <v>816</v>
      </c>
      <c r="E742" s="346" t="s">
        <v>816</v>
      </c>
      <c r="F742" s="346" t="s">
        <v>816</v>
      </c>
    </row>
    <row r="743" spans="1:6" x14ac:dyDescent="0.2">
      <c r="A743" s="346" t="s">
        <v>821</v>
      </c>
      <c r="B743" s="346" t="s">
        <v>821</v>
      </c>
      <c r="C743" s="346" t="s">
        <v>821</v>
      </c>
      <c r="D743" s="346" t="s">
        <v>821</v>
      </c>
      <c r="E743" s="346" t="s">
        <v>821</v>
      </c>
      <c r="F743" s="346" t="s">
        <v>821</v>
      </c>
    </row>
    <row r="744" spans="1:6" x14ac:dyDescent="0.2">
      <c r="A744" s="346" t="s">
        <v>831</v>
      </c>
      <c r="B744" s="346" t="s">
        <v>831</v>
      </c>
      <c r="C744" s="346" t="s">
        <v>831</v>
      </c>
      <c r="D744" s="346" t="s">
        <v>831</v>
      </c>
      <c r="E744" s="346" t="s">
        <v>831</v>
      </c>
      <c r="F744" s="346" t="s">
        <v>831</v>
      </c>
    </row>
    <row r="745" spans="1:6" x14ac:dyDescent="0.2">
      <c r="A745" s="346" t="s">
        <v>843</v>
      </c>
      <c r="B745" s="346" t="s">
        <v>843</v>
      </c>
      <c r="C745" s="346" t="s">
        <v>843</v>
      </c>
      <c r="D745" s="346" t="s">
        <v>843</v>
      </c>
      <c r="E745" s="346" t="s">
        <v>843</v>
      </c>
      <c r="F745" s="346" t="s">
        <v>843</v>
      </c>
    </row>
    <row r="746" spans="1:6" x14ac:dyDescent="0.2">
      <c r="A746" s="346" t="s">
        <v>857</v>
      </c>
      <c r="B746" s="346" t="s">
        <v>857</v>
      </c>
      <c r="C746" s="346" t="s">
        <v>857</v>
      </c>
      <c r="D746" s="346" t="s">
        <v>857</v>
      </c>
      <c r="E746" s="346" t="s">
        <v>857</v>
      </c>
      <c r="F746" s="346" t="s">
        <v>857</v>
      </c>
    </row>
    <row r="747" spans="1:6" x14ac:dyDescent="0.2">
      <c r="A747" s="346" t="s">
        <v>871</v>
      </c>
      <c r="B747" s="346" t="s">
        <v>871</v>
      </c>
      <c r="C747" s="346" t="s">
        <v>871</v>
      </c>
      <c r="D747" s="346" t="s">
        <v>871</v>
      </c>
      <c r="E747" s="346" t="s">
        <v>871</v>
      </c>
      <c r="F747" s="346" t="s">
        <v>871</v>
      </c>
    </row>
    <row r="748" spans="1:6" x14ac:dyDescent="0.2">
      <c r="A748" s="346" t="s">
        <v>878</v>
      </c>
      <c r="B748" s="346" t="s">
        <v>878</v>
      </c>
      <c r="C748" s="346" t="s">
        <v>878</v>
      </c>
      <c r="D748" s="346" t="s">
        <v>878</v>
      </c>
      <c r="E748" s="346" t="s">
        <v>878</v>
      </c>
      <c r="F748" s="346" t="s">
        <v>878</v>
      </c>
    </row>
    <row r="749" spans="1:6" x14ac:dyDescent="0.2">
      <c r="A749" s="346" t="s">
        <v>887</v>
      </c>
      <c r="B749" s="346" t="s">
        <v>887</v>
      </c>
      <c r="C749" s="346" t="s">
        <v>887</v>
      </c>
      <c r="D749" s="346" t="s">
        <v>887</v>
      </c>
      <c r="E749" s="346" t="s">
        <v>887</v>
      </c>
      <c r="F749" s="346" t="s">
        <v>887</v>
      </c>
    </row>
    <row r="750" spans="1:6" x14ac:dyDescent="0.2">
      <c r="A750" s="346" t="s">
        <v>900</v>
      </c>
      <c r="B750" s="346" t="s">
        <v>900</v>
      </c>
      <c r="C750" s="346" t="s">
        <v>900</v>
      </c>
      <c r="D750" s="346" t="s">
        <v>900</v>
      </c>
      <c r="E750" s="346" t="s">
        <v>900</v>
      </c>
      <c r="F750" s="346" t="s">
        <v>900</v>
      </c>
    </row>
    <row r="751" spans="1:6" x14ac:dyDescent="0.2">
      <c r="A751" s="346" t="s">
        <v>912</v>
      </c>
      <c r="B751" s="346" t="s">
        <v>912</v>
      </c>
      <c r="C751" s="346" t="s">
        <v>912</v>
      </c>
      <c r="D751" s="346" t="s">
        <v>912</v>
      </c>
      <c r="E751" s="346" t="s">
        <v>912</v>
      </c>
      <c r="F751" s="346" t="s">
        <v>912</v>
      </c>
    </row>
    <row r="752" spans="1:6" x14ac:dyDescent="0.2">
      <c r="A752" s="346" t="s">
        <v>922</v>
      </c>
      <c r="B752" s="346" t="s">
        <v>922</v>
      </c>
      <c r="C752" s="346" t="s">
        <v>922</v>
      </c>
      <c r="D752" s="346" t="s">
        <v>922</v>
      </c>
      <c r="E752" s="346" t="s">
        <v>922</v>
      </c>
      <c r="F752" s="346" t="s">
        <v>922</v>
      </c>
    </row>
    <row r="753" spans="1:6" x14ac:dyDescent="0.2">
      <c r="A753" s="346" t="s">
        <v>939</v>
      </c>
      <c r="B753" s="346" t="s">
        <v>939</v>
      </c>
      <c r="C753" s="346" t="s">
        <v>939</v>
      </c>
      <c r="D753" s="346" t="s">
        <v>939</v>
      </c>
      <c r="E753" s="346" t="s">
        <v>939</v>
      </c>
      <c r="F753" s="346" t="s">
        <v>939</v>
      </c>
    </row>
    <row r="754" spans="1:6" x14ac:dyDescent="0.2">
      <c r="A754" s="346" t="s">
        <v>963</v>
      </c>
      <c r="B754" s="346" t="s">
        <v>963</v>
      </c>
      <c r="C754" s="346" t="s">
        <v>963</v>
      </c>
      <c r="D754" s="346" t="s">
        <v>963</v>
      </c>
      <c r="E754" s="346" t="s">
        <v>963</v>
      </c>
      <c r="F754" s="346" t="s">
        <v>963</v>
      </c>
    </row>
    <row r="755" spans="1:6" x14ac:dyDescent="0.2">
      <c r="A755" s="346" t="s">
        <v>978</v>
      </c>
      <c r="B755" s="346" t="s">
        <v>978</v>
      </c>
      <c r="C755" s="346" t="s">
        <v>978</v>
      </c>
      <c r="D755" s="346" t="s">
        <v>978</v>
      </c>
      <c r="E755" s="346" t="s">
        <v>978</v>
      </c>
      <c r="F755" s="346" t="s">
        <v>978</v>
      </c>
    </row>
    <row r="756" spans="1:6" x14ac:dyDescent="0.2">
      <c r="A756" s="346" t="s">
        <v>997</v>
      </c>
      <c r="B756" s="346" t="s">
        <v>997</v>
      </c>
      <c r="C756" s="346" t="s">
        <v>997</v>
      </c>
      <c r="D756" s="346" t="s">
        <v>997</v>
      </c>
      <c r="E756" s="346" t="s">
        <v>997</v>
      </c>
      <c r="F756" s="346" t="s">
        <v>997</v>
      </c>
    </row>
    <row r="757" spans="1:6" x14ac:dyDescent="0.2">
      <c r="A757" s="346" t="s">
        <v>1013</v>
      </c>
      <c r="B757" s="346" t="s">
        <v>1013</v>
      </c>
      <c r="C757" s="346" t="s">
        <v>1013</v>
      </c>
      <c r="D757" s="346" t="s">
        <v>1013</v>
      </c>
      <c r="E757" s="346" t="s">
        <v>1013</v>
      </c>
      <c r="F757" s="346" t="s">
        <v>1013</v>
      </c>
    </row>
    <row r="758" spans="1:6" x14ac:dyDescent="0.2">
      <c r="A758" s="346" t="s">
        <v>1039</v>
      </c>
      <c r="B758" s="346" t="s">
        <v>1039</v>
      </c>
      <c r="C758" s="346" t="s">
        <v>1039</v>
      </c>
      <c r="D758" s="346" t="s">
        <v>1039</v>
      </c>
      <c r="E758" s="346" t="s">
        <v>1039</v>
      </c>
      <c r="F758" s="346" t="s">
        <v>1039</v>
      </c>
    </row>
    <row r="759" spans="1:6" x14ac:dyDescent="0.2">
      <c r="A759" s="346" t="s">
        <v>1057</v>
      </c>
      <c r="B759" s="346" t="s">
        <v>1057</v>
      </c>
      <c r="C759" s="346" t="s">
        <v>1057</v>
      </c>
      <c r="D759" s="346" t="s">
        <v>1057</v>
      </c>
      <c r="E759" s="346" t="s">
        <v>1057</v>
      </c>
      <c r="F759" s="346" t="s">
        <v>1057</v>
      </c>
    </row>
    <row r="760" spans="1:6" x14ac:dyDescent="0.2">
      <c r="A760" s="346" t="s">
        <v>1075</v>
      </c>
      <c r="B760" s="346" t="s">
        <v>1075</v>
      </c>
      <c r="C760" s="346" t="s">
        <v>1075</v>
      </c>
      <c r="D760" s="346" t="s">
        <v>1075</v>
      </c>
      <c r="E760" s="346" t="s">
        <v>1075</v>
      </c>
      <c r="F760" s="346" t="s">
        <v>1075</v>
      </c>
    </row>
    <row r="761" spans="1:6" x14ac:dyDescent="0.2">
      <c r="A761" s="346" t="s">
        <v>1092</v>
      </c>
      <c r="B761" s="346" t="s">
        <v>1092</v>
      </c>
      <c r="C761" s="346" t="s">
        <v>1092</v>
      </c>
      <c r="D761" s="346" t="s">
        <v>1092</v>
      </c>
      <c r="E761" s="346" t="s">
        <v>1092</v>
      </c>
      <c r="F761" s="346" t="s">
        <v>1092</v>
      </c>
    </row>
    <row r="762" spans="1:6" x14ac:dyDescent="0.2">
      <c r="A762" s="346" t="s">
        <v>340</v>
      </c>
      <c r="B762" s="346" t="s">
        <v>340</v>
      </c>
      <c r="C762" s="346" t="s">
        <v>340</v>
      </c>
      <c r="D762" s="346" t="s">
        <v>340</v>
      </c>
      <c r="E762" s="346" t="s">
        <v>340</v>
      </c>
      <c r="F762" s="346" t="s">
        <v>340</v>
      </c>
    </row>
    <row r="763" spans="1:6" x14ac:dyDescent="0.2">
      <c r="A763" s="346" t="s">
        <v>349</v>
      </c>
      <c r="B763" s="346" t="s">
        <v>349</v>
      </c>
      <c r="C763" s="346" t="s">
        <v>349</v>
      </c>
      <c r="D763" s="346" t="s">
        <v>349</v>
      </c>
      <c r="E763" s="346" t="s">
        <v>349</v>
      </c>
      <c r="F763" s="346" t="s">
        <v>349</v>
      </c>
    </row>
    <row r="764" spans="1:6" x14ac:dyDescent="0.2">
      <c r="A764" s="346" t="s">
        <v>361</v>
      </c>
      <c r="B764" s="346" t="s">
        <v>361</v>
      </c>
      <c r="C764" s="346" t="s">
        <v>361</v>
      </c>
      <c r="D764" s="346" t="s">
        <v>361</v>
      </c>
      <c r="E764" s="346" t="s">
        <v>361</v>
      </c>
      <c r="F764" s="346" t="s">
        <v>361</v>
      </c>
    </row>
    <row r="765" spans="1:6" x14ac:dyDescent="0.2">
      <c r="A765" s="346" t="s">
        <v>374</v>
      </c>
      <c r="B765" s="346" t="s">
        <v>374</v>
      </c>
      <c r="C765" s="346" t="s">
        <v>374</v>
      </c>
      <c r="D765" s="346" t="s">
        <v>374</v>
      </c>
      <c r="E765" s="346" t="s">
        <v>374</v>
      </c>
      <c r="F765" s="346" t="s">
        <v>374</v>
      </c>
    </row>
    <row r="766" spans="1:6" x14ac:dyDescent="0.2">
      <c r="A766" s="346" t="s">
        <v>378</v>
      </c>
      <c r="B766" s="346" t="s">
        <v>378</v>
      </c>
      <c r="C766" s="346" t="s">
        <v>378</v>
      </c>
      <c r="D766" s="346" t="s">
        <v>378</v>
      </c>
      <c r="E766" s="346" t="s">
        <v>378</v>
      </c>
      <c r="F766" s="346" t="s">
        <v>378</v>
      </c>
    </row>
    <row r="767" spans="1:6" x14ac:dyDescent="0.2">
      <c r="A767" s="346" t="s">
        <v>392</v>
      </c>
      <c r="B767" s="346" t="s">
        <v>392</v>
      </c>
      <c r="C767" s="346" t="s">
        <v>392</v>
      </c>
      <c r="D767" s="346" t="s">
        <v>392</v>
      </c>
      <c r="E767" s="346" t="s">
        <v>392</v>
      </c>
      <c r="F767" s="346" t="s">
        <v>392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F8AE-8337-984B-8BDB-A99CEB1C9CFE}">
  <dimension ref="A1:P39"/>
  <sheetViews>
    <sheetView zoomScaleNormal="145" workbookViewId="0">
      <selection activeCell="C20" sqref="C20"/>
    </sheetView>
  </sheetViews>
  <sheetFormatPr baseColWidth="10" defaultColWidth="11.5" defaultRowHeight="15" x14ac:dyDescent="0.2"/>
  <cols>
    <col min="1" max="1" width="19.6640625" bestFit="1" customWidth="1"/>
    <col min="3" max="3" width="18.6640625" customWidth="1"/>
    <col min="4" max="4" width="12.33203125" customWidth="1"/>
  </cols>
  <sheetData>
    <row r="1" spans="1:16" x14ac:dyDescent="0.2">
      <c r="A1" s="124" t="s">
        <v>1</v>
      </c>
      <c r="B1" s="124" t="s">
        <v>2</v>
      </c>
      <c r="C1" s="124" t="s">
        <v>1887</v>
      </c>
      <c r="D1" s="124" t="s">
        <v>6</v>
      </c>
      <c r="E1" s="124" t="s">
        <v>7</v>
      </c>
      <c r="F1" s="327" t="s">
        <v>140</v>
      </c>
      <c r="G1" s="124" t="s">
        <v>140</v>
      </c>
      <c r="H1" s="124" t="s">
        <v>141</v>
      </c>
      <c r="I1" s="124" t="s">
        <v>142</v>
      </c>
      <c r="J1" s="124" t="s">
        <v>143</v>
      </c>
      <c r="K1" s="124" t="s">
        <v>1888</v>
      </c>
      <c r="L1" s="124" t="s">
        <v>1889</v>
      </c>
      <c r="M1" s="353" t="s">
        <v>1890</v>
      </c>
      <c r="N1" s="353" t="s">
        <v>135</v>
      </c>
      <c r="O1" s="353" t="s">
        <v>1891</v>
      </c>
      <c r="P1" s="124" t="s">
        <v>1892</v>
      </c>
    </row>
    <row r="2" spans="1:16" ht="16" x14ac:dyDescent="0.2">
      <c r="A2" s="130" t="s">
        <v>44</v>
      </c>
      <c r="B2" s="126">
        <v>45444</v>
      </c>
      <c r="C2" s="126" t="s">
        <v>45</v>
      </c>
      <c r="D2" s="127">
        <v>1100</v>
      </c>
      <c r="E2" s="134" t="s">
        <v>27</v>
      </c>
      <c r="F2" s="40"/>
      <c r="G2" s="5"/>
      <c r="H2" s="5"/>
      <c r="I2" s="5"/>
      <c r="J2" s="5"/>
      <c r="K2" s="351"/>
      <c r="L2" s="350"/>
      <c r="M2" s="5"/>
      <c r="N2" s="5"/>
      <c r="O2" s="5"/>
      <c r="P2" s="5"/>
    </row>
    <row r="3" spans="1:16" ht="16" x14ac:dyDescent="0.2">
      <c r="A3" s="130" t="s">
        <v>77</v>
      </c>
      <c r="B3" s="126">
        <v>45474</v>
      </c>
      <c r="C3" s="126" t="s">
        <v>1893</v>
      </c>
      <c r="D3" s="127">
        <v>1500</v>
      </c>
      <c r="E3" s="134" t="s">
        <v>27</v>
      </c>
      <c r="F3" s="128"/>
      <c r="G3" s="5"/>
      <c r="H3" s="5"/>
      <c r="I3" s="5"/>
      <c r="J3" s="5"/>
      <c r="K3" s="350"/>
      <c r="L3" s="350"/>
      <c r="M3" s="5"/>
      <c r="N3" s="5"/>
      <c r="O3" s="5"/>
      <c r="P3" s="5"/>
    </row>
    <row r="4" spans="1:16" ht="16" x14ac:dyDescent="0.2">
      <c r="A4" s="125" t="s">
        <v>47</v>
      </c>
      <c r="B4" s="126">
        <v>45444</v>
      </c>
      <c r="C4" s="126" t="s">
        <v>48</v>
      </c>
      <c r="D4" s="129" t="s">
        <v>1894</v>
      </c>
      <c r="E4" s="134" t="s">
        <v>27</v>
      </c>
      <c r="F4" s="131"/>
      <c r="G4" s="131"/>
      <c r="H4" s="131"/>
      <c r="I4" s="131"/>
      <c r="J4" s="131"/>
      <c r="K4" s="351"/>
      <c r="L4" s="351"/>
      <c r="M4" s="131"/>
      <c r="N4" s="131"/>
      <c r="O4" s="128"/>
      <c r="P4" s="5"/>
    </row>
    <row r="5" spans="1:16" x14ac:dyDescent="0.2">
      <c r="A5" s="130" t="s">
        <v>155</v>
      </c>
      <c r="B5" s="126">
        <v>45690</v>
      </c>
      <c r="C5" s="6" t="s">
        <v>1895</v>
      </c>
      <c r="D5" s="167">
        <v>1500</v>
      </c>
      <c r="E5" s="168"/>
      <c r="F5" s="5"/>
      <c r="G5" s="131"/>
      <c r="H5" s="131"/>
      <c r="I5" s="131"/>
      <c r="J5" s="131"/>
      <c r="K5" s="351"/>
      <c r="L5" s="351"/>
      <c r="M5" s="131"/>
      <c r="N5" s="131"/>
      <c r="O5" s="131"/>
      <c r="P5" s="5"/>
    </row>
    <row r="6" spans="1:16" ht="14" customHeight="1" x14ac:dyDescent="0.2">
      <c r="A6" s="130" t="s">
        <v>157</v>
      </c>
      <c r="B6" s="126">
        <v>45718</v>
      </c>
      <c r="C6" s="6" t="s">
        <v>1896</v>
      </c>
      <c r="D6" s="167">
        <v>1900</v>
      </c>
      <c r="E6" s="168">
        <v>0.05</v>
      </c>
      <c r="F6" s="5"/>
      <c r="G6" s="131"/>
      <c r="H6" s="131"/>
      <c r="I6" s="131"/>
      <c r="J6" s="131"/>
      <c r="K6" s="351"/>
      <c r="L6" s="351"/>
      <c r="M6" s="131"/>
      <c r="N6" s="131"/>
      <c r="O6" s="131"/>
      <c r="P6" s="5"/>
    </row>
    <row r="7" spans="1:16" x14ac:dyDescent="0.2">
      <c r="A7" s="130" t="s">
        <v>643</v>
      </c>
      <c r="B7" s="126">
        <v>45748</v>
      </c>
      <c r="C7" s="6" t="s">
        <v>1897</v>
      </c>
      <c r="D7" s="167">
        <v>1900</v>
      </c>
      <c r="E7" s="168">
        <v>0.05</v>
      </c>
      <c r="F7" s="5"/>
      <c r="G7" s="131"/>
      <c r="H7" s="131"/>
      <c r="I7" s="131"/>
      <c r="J7" s="131"/>
      <c r="K7" s="351"/>
      <c r="L7" s="351"/>
      <c r="M7" s="131"/>
      <c r="N7" s="131"/>
      <c r="O7" s="131"/>
      <c r="P7" s="5"/>
    </row>
    <row r="8" spans="1:16" x14ac:dyDescent="0.2">
      <c r="A8" s="130" t="s">
        <v>1898</v>
      </c>
      <c r="B8" s="126">
        <v>45778</v>
      </c>
      <c r="C8" s="6" t="s">
        <v>1899</v>
      </c>
      <c r="D8" s="167">
        <v>1500</v>
      </c>
      <c r="E8" s="168">
        <v>0.05</v>
      </c>
      <c r="F8" s="5"/>
      <c r="G8" s="131"/>
      <c r="H8" s="5"/>
      <c r="I8" s="5"/>
      <c r="J8" s="128"/>
      <c r="K8" s="349"/>
      <c r="L8" s="350"/>
      <c r="M8" s="5"/>
      <c r="N8" s="5"/>
      <c r="O8" s="5"/>
      <c r="P8" s="5"/>
    </row>
    <row r="9" spans="1:16" ht="14" customHeight="1" x14ac:dyDescent="0.2">
      <c r="A9" s="130" t="s">
        <v>179</v>
      </c>
      <c r="B9" s="126">
        <v>45839</v>
      </c>
      <c r="C9" s="6" t="s">
        <v>1900</v>
      </c>
      <c r="D9" s="167">
        <v>1300</v>
      </c>
      <c r="E9" s="168">
        <v>0.05</v>
      </c>
      <c r="F9" s="5"/>
      <c r="G9" s="131"/>
      <c r="H9" s="131"/>
      <c r="I9" s="128"/>
      <c r="J9" s="5"/>
      <c r="K9" s="350"/>
      <c r="L9" s="350"/>
      <c r="M9" s="5"/>
      <c r="N9" s="5"/>
      <c r="O9" s="5"/>
      <c r="P9" s="5"/>
    </row>
    <row r="10" spans="1:16" ht="15.5" customHeight="1" x14ac:dyDescent="0.2">
      <c r="A10" s="130" t="s">
        <v>838</v>
      </c>
      <c r="B10" s="126">
        <v>45839</v>
      </c>
      <c r="C10" s="6" t="s">
        <v>1901</v>
      </c>
      <c r="D10" s="167">
        <v>1900</v>
      </c>
      <c r="E10" s="168">
        <v>0.03</v>
      </c>
      <c r="F10" s="5"/>
      <c r="G10" s="131"/>
      <c r="H10" s="131"/>
      <c r="I10" s="131"/>
      <c r="J10" s="131"/>
      <c r="K10" s="351"/>
      <c r="L10" s="351"/>
      <c r="M10" s="131"/>
      <c r="N10" s="131"/>
      <c r="O10" s="128"/>
      <c r="P10" s="5"/>
    </row>
    <row r="11" spans="1:16" x14ac:dyDescent="0.2">
      <c r="A11" s="130" t="s">
        <v>830</v>
      </c>
      <c r="B11" s="126">
        <v>45839</v>
      </c>
      <c r="C11" s="6" t="s">
        <v>1902</v>
      </c>
      <c r="D11" s="167">
        <v>1900</v>
      </c>
      <c r="E11" s="168">
        <v>0.03</v>
      </c>
      <c r="F11" s="5"/>
      <c r="G11" s="131"/>
      <c r="H11" s="131"/>
      <c r="I11" s="131"/>
      <c r="J11" s="131"/>
      <c r="K11" s="351"/>
      <c r="L11" s="351"/>
      <c r="M11" s="131"/>
      <c r="N11" s="131"/>
      <c r="O11" s="131"/>
      <c r="P11" s="5"/>
    </row>
    <row r="12" spans="1:16" x14ac:dyDescent="0.2">
      <c r="A12" s="130" t="s">
        <v>877</v>
      </c>
      <c r="B12" s="126">
        <v>45901</v>
      </c>
      <c r="C12" s="6" t="s">
        <v>1903</v>
      </c>
      <c r="D12" s="167">
        <v>1500</v>
      </c>
      <c r="E12" s="168"/>
      <c r="F12" s="5"/>
      <c r="G12" s="131"/>
      <c r="H12" s="128"/>
      <c r="I12" s="5"/>
      <c r="J12" s="5"/>
      <c r="K12" s="350"/>
      <c r="L12" s="350"/>
      <c r="M12" s="5"/>
      <c r="N12" s="5"/>
      <c r="O12" s="5"/>
      <c r="P12" s="5"/>
    </row>
    <row r="13" spans="1:16" x14ac:dyDescent="0.2">
      <c r="A13" s="130" t="s">
        <v>885</v>
      </c>
      <c r="B13" s="126">
        <v>45901</v>
      </c>
      <c r="C13" s="6" t="s">
        <v>1903</v>
      </c>
      <c r="D13" s="167">
        <v>1200</v>
      </c>
      <c r="E13" s="168">
        <v>0.06</v>
      </c>
      <c r="F13" s="5"/>
      <c r="G13" s="131"/>
      <c r="H13" s="131"/>
      <c r="I13" s="131"/>
      <c r="J13" s="131"/>
      <c r="K13" s="351"/>
      <c r="L13" s="351"/>
      <c r="M13" s="131"/>
      <c r="N13" s="131"/>
      <c r="O13" s="131"/>
      <c r="P13" s="5"/>
    </row>
    <row r="14" spans="1:16" ht="14" customHeight="1" x14ac:dyDescent="0.2">
      <c r="A14" s="130" t="s">
        <v>1012</v>
      </c>
      <c r="B14" s="126">
        <v>45931</v>
      </c>
      <c r="C14" s="6" t="s">
        <v>1904</v>
      </c>
      <c r="D14" s="167">
        <v>1500</v>
      </c>
      <c r="E14" s="168">
        <v>0.05</v>
      </c>
      <c r="F14" s="5"/>
      <c r="G14" s="40"/>
      <c r="H14" s="131"/>
      <c r="I14" s="131"/>
      <c r="J14" s="131"/>
      <c r="K14" s="349"/>
      <c r="L14" s="349"/>
      <c r="M14" s="5"/>
      <c r="N14" s="5"/>
      <c r="O14" s="5"/>
      <c r="P14" s="5"/>
    </row>
    <row r="15" spans="1:16" x14ac:dyDescent="0.2">
      <c r="A15" s="130" t="s">
        <v>1118</v>
      </c>
      <c r="B15" s="126">
        <v>45931</v>
      </c>
      <c r="C15" s="6" t="s">
        <v>1905</v>
      </c>
      <c r="D15" s="167">
        <v>1500</v>
      </c>
      <c r="E15" s="168">
        <v>0.05</v>
      </c>
      <c r="F15" s="5"/>
      <c r="G15" s="40"/>
      <c r="H15" s="40"/>
      <c r="I15" s="128"/>
      <c r="J15" s="128"/>
      <c r="K15" s="350"/>
      <c r="L15" s="350"/>
      <c r="M15" s="5"/>
      <c r="N15" s="5"/>
      <c r="O15" s="5"/>
      <c r="P15" s="5"/>
    </row>
    <row r="16" spans="1:16" x14ac:dyDescent="0.2">
      <c r="A16" s="130" t="s">
        <v>1906</v>
      </c>
      <c r="B16" s="126">
        <v>45992</v>
      </c>
      <c r="C16" s="6" t="s">
        <v>1907</v>
      </c>
      <c r="D16" s="167">
        <v>1200</v>
      </c>
      <c r="E16" s="168">
        <v>0.05</v>
      </c>
      <c r="F16" s="5"/>
      <c r="G16" s="40"/>
      <c r="H16" s="40"/>
      <c r="I16" s="40"/>
      <c r="J16" s="131"/>
      <c r="K16" s="351"/>
      <c r="L16" s="350"/>
      <c r="M16" s="131"/>
      <c r="N16" s="131"/>
      <c r="O16" s="128"/>
      <c r="P16" s="5"/>
    </row>
    <row r="17" spans="1:16" x14ac:dyDescent="0.2">
      <c r="A17" s="130" t="s">
        <v>1248</v>
      </c>
      <c r="B17" s="126">
        <v>46023</v>
      </c>
      <c r="C17" s="6" t="s">
        <v>1908</v>
      </c>
      <c r="D17" s="167" t="s">
        <v>1909</v>
      </c>
      <c r="E17" s="168"/>
      <c r="F17" s="5"/>
      <c r="G17" s="40"/>
      <c r="H17" s="40"/>
      <c r="I17" s="40"/>
      <c r="J17" s="5"/>
      <c r="K17" s="351"/>
      <c r="L17" s="351"/>
      <c r="M17" s="131"/>
      <c r="N17" s="131"/>
      <c r="O17" s="131"/>
      <c r="P17" s="5"/>
    </row>
    <row r="18" spans="1:16" x14ac:dyDescent="0.2">
      <c r="A18" s="130" t="s">
        <v>1285</v>
      </c>
      <c r="B18" s="126">
        <v>46023</v>
      </c>
      <c r="C18" s="6" t="s">
        <v>1910</v>
      </c>
      <c r="D18" s="167">
        <v>1750</v>
      </c>
      <c r="E18" s="168">
        <v>0.05</v>
      </c>
      <c r="F18" s="5"/>
      <c r="G18" s="40"/>
      <c r="H18" s="40"/>
      <c r="I18" s="40"/>
      <c r="J18" s="5"/>
      <c r="K18" s="351"/>
      <c r="L18" s="351"/>
      <c r="M18" s="131"/>
      <c r="N18" s="128"/>
      <c r="O18" s="5"/>
      <c r="P18" s="5"/>
    </row>
    <row r="19" spans="1:16" x14ac:dyDescent="0.2">
      <c r="A19" s="130" t="s">
        <v>1383</v>
      </c>
      <c r="B19" s="126">
        <v>46023</v>
      </c>
      <c r="C19" s="6" t="s">
        <v>1911</v>
      </c>
      <c r="D19" s="167">
        <v>1500</v>
      </c>
      <c r="E19" s="168">
        <v>0.05</v>
      </c>
      <c r="F19" s="5"/>
      <c r="G19" s="40"/>
      <c r="H19" s="40"/>
      <c r="I19" s="40"/>
      <c r="J19" s="5"/>
      <c r="K19" s="351"/>
      <c r="L19" s="351"/>
      <c r="M19" s="131"/>
      <c r="N19" s="131"/>
      <c r="O19" s="128"/>
      <c r="P19" s="5"/>
    </row>
    <row r="20" spans="1:16" x14ac:dyDescent="0.2">
      <c r="A20" s="130" t="s">
        <v>1480</v>
      </c>
      <c r="B20" s="126">
        <v>46023</v>
      </c>
      <c r="C20" s="6" t="s">
        <v>1912</v>
      </c>
      <c r="D20" s="167">
        <v>1300</v>
      </c>
      <c r="E20" s="168">
        <v>0.02</v>
      </c>
      <c r="F20" s="5"/>
      <c r="G20" s="40"/>
      <c r="H20" s="40"/>
      <c r="I20" s="40"/>
      <c r="J20" s="5"/>
      <c r="K20" s="351"/>
      <c r="L20" s="350"/>
      <c r="M20" s="131"/>
      <c r="N20" s="131"/>
      <c r="O20" s="131"/>
      <c r="P20" s="5"/>
    </row>
    <row r="21" spans="1:16" x14ac:dyDescent="0.2">
      <c r="A21" s="130" t="s">
        <v>1460</v>
      </c>
      <c r="B21" s="126">
        <v>46054</v>
      </c>
      <c r="C21" s="6" t="s">
        <v>1913</v>
      </c>
      <c r="D21" s="167">
        <v>1500</v>
      </c>
      <c r="E21" s="168">
        <v>0.05</v>
      </c>
      <c r="F21" s="5"/>
      <c r="G21" s="40"/>
      <c r="H21" s="40"/>
      <c r="I21" s="40"/>
      <c r="J21" s="5"/>
      <c r="K21" s="352"/>
      <c r="L21" s="351"/>
      <c r="M21" s="131"/>
      <c r="N21" s="128"/>
      <c r="O21" s="5"/>
      <c r="P21" s="5"/>
    </row>
    <row r="22" spans="1:16" x14ac:dyDescent="0.2">
      <c r="A22" s="130" t="s">
        <v>1678</v>
      </c>
      <c r="B22" s="126">
        <v>46056</v>
      </c>
      <c r="C22" s="6" t="s">
        <v>1914</v>
      </c>
      <c r="D22" s="167">
        <v>1900</v>
      </c>
      <c r="E22" s="168">
        <v>0.05</v>
      </c>
      <c r="F22" s="5"/>
      <c r="G22" s="40"/>
      <c r="H22" s="40"/>
      <c r="I22" s="40"/>
      <c r="J22" s="5"/>
      <c r="K22" s="352"/>
      <c r="L22" s="351"/>
      <c r="M22" s="131"/>
      <c r="N22" s="131"/>
      <c r="O22" s="131"/>
      <c r="P22" s="5"/>
    </row>
    <row r="23" spans="1:16" x14ac:dyDescent="0.2">
      <c r="A23" s="130" t="s">
        <v>1446</v>
      </c>
      <c r="B23" s="126">
        <v>46056</v>
      </c>
      <c r="C23" s="6" t="s">
        <v>1914</v>
      </c>
      <c r="D23" s="167">
        <v>1900</v>
      </c>
      <c r="E23" s="168">
        <v>0.05</v>
      </c>
      <c r="F23" s="5"/>
      <c r="G23" s="40"/>
      <c r="H23" s="40"/>
      <c r="I23" s="40"/>
      <c r="J23" s="5"/>
      <c r="K23" s="352"/>
      <c r="L23" s="351"/>
      <c r="M23" s="131"/>
      <c r="N23" s="131"/>
      <c r="O23" s="131"/>
      <c r="P23" s="5"/>
    </row>
    <row r="24" spans="1:16" x14ac:dyDescent="0.2">
      <c r="A24" s="130" t="s">
        <v>1505</v>
      </c>
      <c r="B24" s="126">
        <v>46084</v>
      </c>
      <c r="C24" s="6" t="s">
        <v>1915</v>
      </c>
      <c r="D24" s="167">
        <v>1750</v>
      </c>
      <c r="E24" s="168">
        <v>0.05</v>
      </c>
      <c r="F24" s="5"/>
      <c r="G24" s="40"/>
      <c r="H24" s="40"/>
      <c r="I24" s="40"/>
      <c r="J24" s="5"/>
      <c r="K24" s="352"/>
      <c r="L24" s="352"/>
      <c r="M24" s="131"/>
      <c r="N24" s="131"/>
      <c r="O24" s="131"/>
      <c r="P24" s="5"/>
    </row>
    <row r="25" spans="1:16" x14ac:dyDescent="0.2">
      <c r="A25" s="130" t="s">
        <v>1574</v>
      </c>
      <c r="B25" s="126">
        <v>46084</v>
      </c>
      <c r="C25" s="6" t="s">
        <v>1916</v>
      </c>
      <c r="D25" s="167">
        <v>1750</v>
      </c>
      <c r="E25" s="168">
        <v>0.05</v>
      </c>
      <c r="F25" s="5"/>
      <c r="G25" s="40"/>
      <c r="H25" s="40"/>
      <c r="I25" s="40"/>
      <c r="J25" s="5"/>
      <c r="K25" s="352"/>
      <c r="L25" s="352"/>
      <c r="M25" s="131"/>
      <c r="N25" s="131"/>
      <c r="O25" s="131"/>
      <c r="P25" s="5"/>
    </row>
    <row r="26" spans="1:16" x14ac:dyDescent="0.2">
      <c r="A26" s="130" t="s">
        <v>1917</v>
      </c>
      <c r="B26" s="126">
        <v>46084</v>
      </c>
      <c r="C26" s="6" t="s">
        <v>1918</v>
      </c>
      <c r="D26" s="167">
        <v>1300</v>
      </c>
      <c r="E26" s="168">
        <v>0.05</v>
      </c>
      <c r="F26" s="5"/>
      <c r="G26" s="40"/>
      <c r="H26" s="40"/>
      <c r="I26" s="40"/>
      <c r="J26" s="5"/>
      <c r="K26" s="5"/>
      <c r="L26" s="5"/>
      <c r="M26" s="131"/>
      <c r="N26" s="131"/>
      <c r="O26" s="128"/>
      <c r="P26" s="5"/>
    </row>
    <row r="27" spans="1:16" x14ac:dyDescent="0.2">
      <c r="A27" s="130" t="s">
        <v>1594</v>
      </c>
      <c r="B27" s="126">
        <v>46083</v>
      </c>
      <c r="C27" s="6" t="s">
        <v>1919</v>
      </c>
      <c r="D27" s="167">
        <v>1750</v>
      </c>
      <c r="E27" s="168">
        <v>0.05</v>
      </c>
      <c r="F27" s="5"/>
      <c r="G27" s="40"/>
      <c r="H27" s="40"/>
      <c r="I27" s="40"/>
      <c r="J27" s="5"/>
      <c r="K27" s="352"/>
      <c r="L27" s="352"/>
      <c r="M27" s="40"/>
      <c r="N27" s="131"/>
      <c r="O27" s="128"/>
      <c r="P27" s="5"/>
    </row>
    <row r="28" spans="1:16" x14ac:dyDescent="0.2">
      <c r="A28" s="130" t="s">
        <v>1627</v>
      </c>
      <c r="B28" s="126">
        <v>46083</v>
      </c>
      <c r="C28" s="6" t="s">
        <v>1920</v>
      </c>
      <c r="D28" s="167">
        <v>1900</v>
      </c>
      <c r="E28" s="168">
        <v>0.05</v>
      </c>
      <c r="F28" s="5"/>
      <c r="G28" s="40"/>
      <c r="H28" s="40"/>
      <c r="I28" s="40"/>
      <c r="J28" s="5"/>
      <c r="K28" s="352"/>
      <c r="L28" s="352"/>
      <c r="M28" s="40"/>
      <c r="N28" s="131"/>
      <c r="O28" s="131"/>
      <c r="P28" s="5"/>
    </row>
    <row r="29" spans="1:16" x14ac:dyDescent="0.2">
      <c r="A29" s="130" t="s">
        <v>1533</v>
      </c>
      <c r="B29" s="126">
        <v>46083</v>
      </c>
      <c r="C29" s="6" t="s">
        <v>1920</v>
      </c>
      <c r="D29" s="167">
        <v>750</v>
      </c>
      <c r="E29" s="168">
        <v>0.05</v>
      </c>
      <c r="F29" s="5"/>
      <c r="G29" s="40"/>
      <c r="H29" s="40"/>
      <c r="I29" s="40"/>
      <c r="J29" s="5"/>
      <c r="K29" s="352"/>
      <c r="L29" s="352"/>
      <c r="M29" s="40"/>
      <c r="N29" s="131"/>
      <c r="O29" s="128"/>
      <c r="P29" s="5"/>
    </row>
    <row r="30" spans="1:16" x14ac:dyDescent="0.2">
      <c r="A30" s="130" t="s">
        <v>1653</v>
      </c>
      <c r="B30" s="126">
        <v>46113</v>
      </c>
      <c r="C30" s="6" t="s">
        <v>1921</v>
      </c>
      <c r="D30" s="167">
        <v>1500</v>
      </c>
      <c r="E30" s="168">
        <v>0.05</v>
      </c>
      <c r="F30" s="5"/>
      <c r="G30" s="40"/>
      <c r="H30" s="40"/>
      <c r="I30" s="40"/>
      <c r="J30" s="5"/>
      <c r="K30" s="352"/>
      <c r="L30" s="40"/>
      <c r="M30" s="40"/>
      <c r="N30" s="131"/>
      <c r="O30" s="131"/>
      <c r="P30" s="5"/>
    </row>
    <row r="31" spans="1:16" x14ac:dyDescent="0.2">
      <c r="A31" s="130" t="s">
        <v>162</v>
      </c>
      <c r="B31" s="126">
        <v>46113</v>
      </c>
      <c r="C31" s="6" t="s">
        <v>1922</v>
      </c>
      <c r="D31" s="167">
        <v>1300</v>
      </c>
      <c r="E31" s="168">
        <v>0.05</v>
      </c>
      <c r="F31" s="5"/>
      <c r="G31" s="40"/>
      <c r="H31" s="40"/>
      <c r="I31" s="40"/>
      <c r="J31" s="5"/>
      <c r="K31" s="352"/>
      <c r="L31" s="40"/>
      <c r="M31" s="40"/>
      <c r="N31" s="131"/>
      <c r="O31" s="128"/>
      <c r="P31" s="5"/>
    </row>
    <row r="32" spans="1:16" x14ac:dyDescent="0.2">
      <c r="A32" s="130" t="s">
        <v>1923</v>
      </c>
      <c r="B32" s="126">
        <v>46113</v>
      </c>
      <c r="C32" s="6" t="s">
        <v>1924</v>
      </c>
      <c r="D32" s="167">
        <v>1750</v>
      </c>
      <c r="E32" s="168">
        <v>0.05</v>
      </c>
      <c r="F32" s="5"/>
      <c r="G32" s="40"/>
      <c r="H32" s="40"/>
      <c r="I32" s="40"/>
      <c r="J32" s="5"/>
      <c r="K32" s="352"/>
      <c r="L32" s="352"/>
      <c r="M32" s="40"/>
      <c r="N32" s="40"/>
      <c r="O32" s="131"/>
      <c r="P32" s="5"/>
    </row>
    <row r="33" spans="1:16" x14ac:dyDescent="0.2">
      <c r="A33" s="130" t="s">
        <v>1688</v>
      </c>
      <c r="B33" s="126">
        <v>46143</v>
      </c>
      <c r="C33" s="6" t="s">
        <v>1925</v>
      </c>
      <c r="D33" s="167">
        <v>1500</v>
      </c>
      <c r="E33" s="168">
        <v>0.05</v>
      </c>
      <c r="F33" s="5"/>
      <c r="G33" s="40"/>
      <c r="H33" s="40"/>
      <c r="I33" s="40"/>
      <c r="J33" s="5"/>
      <c r="K33" s="352"/>
      <c r="L33" s="352"/>
      <c r="M33" s="40"/>
      <c r="N33" s="40"/>
      <c r="O33" s="131"/>
      <c r="P33" s="5"/>
    </row>
    <row r="34" spans="1:16" x14ac:dyDescent="0.2">
      <c r="A34" s="130" t="s">
        <v>1733</v>
      </c>
      <c r="B34" s="126">
        <v>46143</v>
      </c>
      <c r="C34" s="6" t="s">
        <v>1925</v>
      </c>
      <c r="D34" s="167">
        <v>1250</v>
      </c>
      <c r="E34" s="168" t="s">
        <v>1926</v>
      </c>
      <c r="F34" s="5"/>
      <c r="G34" s="40"/>
      <c r="H34" s="40"/>
      <c r="I34" s="40"/>
      <c r="J34" s="5"/>
      <c r="K34" s="352"/>
      <c r="L34" s="352"/>
      <c r="M34" s="40"/>
      <c r="N34" s="40"/>
      <c r="O34" s="131"/>
      <c r="P34" s="5"/>
    </row>
    <row r="35" spans="1:16" x14ac:dyDescent="0.2">
      <c r="A35" s="130" t="s">
        <v>1727</v>
      </c>
      <c r="B35" s="126">
        <v>46143</v>
      </c>
      <c r="C35" s="6" t="s">
        <v>1925</v>
      </c>
      <c r="D35" s="167">
        <v>500</v>
      </c>
      <c r="E35" s="168"/>
      <c r="F35" s="5"/>
      <c r="G35" s="40"/>
      <c r="H35" s="40"/>
      <c r="I35" s="40"/>
      <c r="J35" s="5"/>
      <c r="K35" s="352"/>
      <c r="L35" s="352"/>
      <c r="M35" s="40"/>
      <c r="N35" s="40"/>
      <c r="O35" s="131"/>
      <c r="P35" s="5"/>
    </row>
    <row r="36" spans="1:16" x14ac:dyDescent="0.2">
      <c r="A36" s="130" t="s">
        <v>1927</v>
      </c>
      <c r="B36" s="126">
        <v>46143</v>
      </c>
      <c r="C36" s="6" t="s">
        <v>1928</v>
      </c>
      <c r="D36" s="167">
        <v>1500</v>
      </c>
      <c r="E36" s="168">
        <v>0.02</v>
      </c>
      <c r="F36" s="5"/>
      <c r="G36" s="40"/>
      <c r="H36" s="40"/>
      <c r="I36" s="40"/>
      <c r="J36" s="5"/>
      <c r="K36" s="352"/>
      <c r="L36" s="352"/>
      <c r="M36" s="40"/>
      <c r="N36" s="40"/>
      <c r="O36" s="40"/>
      <c r="P36" s="5"/>
    </row>
    <row r="37" spans="1:16" x14ac:dyDescent="0.2">
      <c r="A37" s="130" t="s">
        <v>1929</v>
      </c>
      <c r="B37" s="126">
        <v>46174</v>
      </c>
      <c r="C37" s="6" t="s">
        <v>45</v>
      </c>
      <c r="D37" s="167">
        <v>1750</v>
      </c>
      <c r="E37" s="168">
        <v>0.02</v>
      </c>
      <c r="F37" s="5"/>
      <c r="G37" s="40"/>
      <c r="H37" s="40"/>
      <c r="I37" s="40"/>
      <c r="J37" s="5"/>
      <c r="K37" s="352"/>
      <c r="L37" s="352"/>
      <c r="M37" s="40"/>
      <c r="N37" s="40"/>
      <c r="O37" s="40"/>
      <c r="P37" s="5"/>
    </row>
    <row r="38" spans="1:16" x14ac:dyDescent="0.2">
      <c r="A38" s="130" t="s">
        <v>1930</v>
      </c>
      <c r="B38" s="126">
        <v>46174</v>
      </c>
      <c r="C38" s="6" t="s">
        <v>45</v>
      </c>
      <c r="D38" s="167">
        <v>1500</v>
      </c>
      <c r="E38" s="168">
        <v>0.02</v>
      </c>
      <c r="F38" s="5"/>
      <c r="G38" s="40"/>
      <c r="H38" s="40"/>
      <c r="I38" s="40"/>
      <c r="J38" s="5"/>
      <c r="K38" s="352"/>
      <c r="L38" s="352"/>
      <c r="M38" s="40"/>
      <c r="N38" s="40"/>
      <c r="O38" s="40"/>
      <c r="P38" s="5"/>
    </row>
    <row r="39" spans="1:16" x14ac:dyDescent="0.2">
      <c r="A39" s="130" t="s">
        <v>1931</v>
      </c>
      <c r="B39" s="126">
        <v>46023</v>
      </c>
      <c r="C39" s="6" t="s">
        <v>1911</v>
      </c>
      <c r="D39" s="167">
        <v>1500</v>
      </c>
      <c r="E39" s="168"/>
      <c r="F39" s="5"/>
      <c r="G39" s="40"/>
      <c r="H39" s="40"/>
      <c r="I39" s="40"/>
      <c r="J39" s="5"/>
      <c r="K39" s="352"/>
      <c r="L39" s="350"/>
      <c r="M39" s="5"/>
      <c r="N39" s="5"/>
      <c r="O39" s="5"/>
      <c r="P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IC 2024</vt:lpstr>
      <vt:lpstr>IC 2025</vt:lpstr>
      <vt:lpstr>Reuniões 2025</vt:lpstr>
      <vt:lpstr>Reuniões 2026</vt:lpstr>
      <vt:lpstr>Pagamentos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Fregni</dc:creator>
  <cp:keywords/>
  <dc:description/>
  <cp:lastModifiedBy>Julia Calicchio</cp:lastModifiedBy>
  <cp:revision/>
  <dcterms:created xsi:type="dcterms:W3CDTF">2024-01-23T19:25:06Z</dcterms:created>
  <dcterms:modified xsi:type="dcterms:W3CDTF">2026-05-29T14:25:21Z</dcterms:modified>
  <cp:category/>
  <cp:contentStatus/>
</cp:coreProperties>
</file>